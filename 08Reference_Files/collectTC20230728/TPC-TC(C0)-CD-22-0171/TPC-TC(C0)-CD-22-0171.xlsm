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CB-017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<sst xmlns="http://schemas.openxmlformats.org/spreadsheetml/2006/main" count="151" uniqueCount="117">
  <si>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</si>
  <si>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</si>
  <si>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</si>
  <si>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</si>
  <si>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</si>
  <si>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</si>
  <si>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</si>
  <si>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</si>
  <si>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</si>
  <si>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</si>
  <si>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</si>
  <si>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</si>
  <si>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</si>
  <si>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</si>
  <si>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</si>
  <si>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</si>
  <si>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</si>
  <si>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</si>
  <si>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</si>
  <si>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</si>
  <si>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</si>
  <si>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</si>
  <si>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</si>
  <si>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</si>
  <si>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</si>
  <si>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</si>
  <si>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</si>
  <si>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</si>
  <si>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</si>
  <si>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</si>
  <si>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</si>
  <si>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</si>
  <si>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</si>
  <si>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</si>
  <si>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</si>
  <si>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</si>
  <si>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</si>
  <si>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</si>
  <si>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</si>
  <si>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</si>
  <si>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</si>
  <si>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</si>
  <si>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</si>
  <si>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</si>
  <si>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</si>
  <si>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</si>
  <si>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</si>
  <si>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</si>
  <si>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</si>
  <si>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</si>
  <si>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</si>
  <si>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</si>
  <si>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</si>
  <si>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</si>
  <si>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</si>
  <si>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</si>
  <si>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</si>
  <si>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</si>
  <si>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</si>
  <si>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</si>
  <si>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</si>
  <si>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</si>
  <si>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</si>
  <si>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</si>
  <si>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</si>
  <si>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</si>
  <si>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</si>
  <si>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</si>
  <si>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</si>
  <si>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</si>
  <si>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</si>
  <si>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</si>
  <si>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</si>
  <si>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</si>
  <si>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</si>
  <si>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</si>
  <si>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</si>
  <si>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</si>
  <si>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</si>
  <si>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</si>
  <si>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</si>
  <si>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</si>
  <si>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</si>
  <si>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</si>
  <si>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</si>
  <si>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</si>
  <si>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</si>
  <si>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</si>
  <si>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</si>
  <si>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</si>
  <si>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</si>
  <si>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</si>
  <si>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</si>
  <si>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TPC-TC(C0)-CD-22-0171</t>
  </si>
  <si>
    <t>IFC</t>
  </si>
  <si>
    <t>2022/04/09</t>
  </si>
  <si>
    <t>2022/03/09</t>
  </si>
  <si>
    <t>XF38A-320R-061</t>
  </si>
  <si>
    <t>PIPE RACK PR-3204 PILING PLAN</t>
  </si>
  <si>
    <t>0</t>
  </si>
  <si>
    <t>C</t>
  </si>
  <si>
    <t>Pipe Rack PR-3204 Piling Plan_R0 (IFC)</t>
  </si>
  <si>
    <t>TC0-1-CSC02-D3261</t>
  </si>
  <si>
    <t>陳博仁  Ext.:23341</t>
  </si>
  <si>
    <t>CB-0176</t>
  </si>
  <si>
    <t>A</t>
  </si>
  <si>
    <t>XF38A-320R-061C</t>
  </si>
  <si>
    <t>CALCULATION SHEET FOR PIPE RACK PR-3204 PILING</t>
  </si>
  <si>
    <t>TC0-1-CSC02-C3261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</si>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</sst>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17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ipe%20Rack%20PR-3204%20Piling%20Plan_R0%20(IFC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101</v>
      </c>
      <c r="J2" s="26" t="s">
        <v>102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 t="s">
        <v>93</v>
      </c>
      <c r="B3" s="26" t="s">
        <v>94</v>
      </c>
      <c r="C3" s="26" t="s">
        <v>95</v>
      </c>
      <c r="D3" s="26" t="s">
        <v>96</v>
      </c>
      <c r="E3" s="26" t="s">
        <v>106</v>
      </c>
      <c r="F3" s="27" t="s">
        <v>107</v>
      </c>
      <c r="G3" s="26" t="s">
        <v>99</v>
      </c>
      <c r="H3" s="26" t="s">
        <v>100</v>
      </c>
      <c r="I3" s="27" t="s">
        <v>101</v>
      </c>
      <c r="J3" s="26" t="s">
        <v>108</v>
      </c>
      <c r="K3" s="26" t="s">
        <v>103</v>
      </c>
      <c r="L3" s="26" t="s">
        <v>104</v>
      </c>
      <c r="M3" s="27" t="s">
        <v>105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B32" sqref="AB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3" t="s">
        <v>29</v>
      </c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  <c r="S4" s="133"/>
      <c r="T4" s="133"/>
      <c r="U4" s="133"/>
      <c r="V4" s="133"/>
      <c r="W4" s="133"/>
      <c r="X4" s="133"/>
      <c r="Y4" s="133"/>
      <c r="Z4" s="133"/>
      <c r="AA4" s="133"/>
      <c r="AB4" s="133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4"/>
      <c r="Z5" s="135"/>
      <c r="AA5" s="135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40"/>
      <c r="Y6" s="117"/>
      <c r="Z6" s="117"/>
      <c r="AA6" s="117"/>
      <c r="AB6" s="117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45" t="str">
        <f>Data1!D2</f>
        <v>2022/03/09</v>
      </c>
      <c r="Y7" s="146"/>
      <c r="Z7" s="146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47" t="str">
        <f>Data1!A2</f>
        <v>TPC-TC(C0)-CD-22-0171</v>
      </c>
      <c r="Y8" s="117"/>
      <c r="Z8" s="117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3" t="s">
        <v>79</v>
      </c>
      <c r="B16" s="9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85"/>
      <c r="AB16" s="85"/>
    </row>
    <row r="17" spans="1:28" s="34" customFormat="1" ht="47.25" customHeight="1">
      <c r="A17" s="144" t="s">
        <v>37</v>
      </c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86"/>
      <c r="AB17" s="86"/>
    </row>
    <row r="18" spans="1:28" s="34" customFormat="1" ht="82.5" customHeight="1">
      <c r="A18" s="68" t="s">
        <v>38</v>
      </c>
      <c r="B18" s="141" t="str">
        <f>Data1!I2</f>
        <v>Pipe Rack PR-3204 Piling Plan_R0 (IFC)</v>
      </c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2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6"/>
      <c r="O20" s="136"/>
      <c r="P20" s="136"/>
      <c r="Q20" s="136"/>
      <c r="R20" s="136"/>
      <c r="S20" s="136"/>
      <c r="T20" s="136"/>
      <c r="U20" s="136"/>
      <c r="V20" s="136"/>
      <c r="W20" s="136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7" t="s">
        <v>116</v>
      </c>
      <c r="B22" s="138"/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</row>
    <row r="23" spans="1:28" s="34" customFormat="1" ht="39.75" customHeight="1">
      <c r="A23" s="137" t="s">
        <v>57</v>
      </c>
      <c r="B23" s="138"/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</row>
    <row r="24" spans="1:28" s="34" customFormat="1" ht="39.75" customHeight="1">
      <c r="A24" s="40"/>
      <c r="B24" s="44" t="s">
        <v>115</v>
      </c>
      <c r="C24" s="139" t="s">
        <v>58</v>
      </c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39"/>
    </row>
    <row r="25" spans="1:28" s="34" customFormat="1" ht="39.75" customHeight="1">
      <c r="A25" s="40"/>
      <c r="B25" s="44" t="s">
        <v>41</v>
      </c>
      <c r="C25" s="132" t="s">
        <v>42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41"/>
    </row>
    <row r="26" spans="1:28" s="34" customFormat="1" ht="39.75" customHeight="1">
      <c r="A26" s="45" t="s">
        <v>109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110</v>
      </c>
      <c r="C27" s="130" t="s">
        <v>43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30"/>
      <c r="B29" s="130"/>
      <c r="C29" s="131"/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40"/>
      <c r="Y29" s="41"/>
      <c r="Z29" s="41"/>
      <c r="AA29" s="42"/>
      <c r="AB29" s="41"/>
    </row>
    <row r="30" spans="1:28" s="34" customFormat="1" ht="33.950000000000003" customHeight="1">
      <c r="A30" s="119" t="s">
        <v>73</v>
      </c>
      <c r="B30" s="120"/>
      <c r="C30" s="120"/>
      <c r="D30" s="120"/>
      <c r="E30" s="120"/>
      <c r="F30" s="121"/>
      <c r="G30" s="121"/>
      <c r="H30" s="121"/>
      <c r="I30" s="121"/>
      <c r="J30" s="121"/>
      <c r="K30" s="121"/>
      <c r="L30" s="121"/>
      <c r="M30" s="121"/>
      <c r="N30" s="120"/>
      <c r="O30" s="120"/>
      <c r="P30" s="120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1"/>
      <c r="AB30" s="121"/>
    </row>
    <row r="31" spans="1:28" s="34" customFormat="1" ht="39.75" customHeight="1">
      <c r="A31" s="122" t="s">
        <v>45</v>
      </c>
      <c r="B31" s="123"/>
      <c r="C31" s="123"/>
      <c r="D31" s="123"/>
      <c r="E31" s="123"/>
      <c r="F31" s="124"/>
      <c r="G31" s="46" t="s">
        <v>46</v>
      </c>
      <c r="H31" s="125" t="s">
        <v>47</v>
      </c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7"/>
      <c r="W31" s="47" t="s">
        <v>48</v>
      </c>
      <c r="X31" s="125" t="s">
        <v>49</v>
      </c>
      <c r="Y31" s="128"/>
      <c r="Z31" s="129"/>
    </row>
    <row r="32" spans="1:28" s="34" customFormat="1" ht="75" customHeight="1">
      <c r="A32" s="148" t="s">
        <v>102</v>
      </c>
      <c r="B32" s="149"/>
      <c r="C32" s="149"/>
      <c r="D32" s="149"/>
      <c r="E32" s="149"/>
      <c r="F32" s="150"/>
      <c r="G32" s="94" t="s">
        <v>99</v>
      </c>
      <c r="H32" s="151" t="s">
        <v>98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100</v>
      </c>
      <c r="X32" s="151" t="s">
        <v>97</v>
      </c>
      <c r="Y32" s="152"/>
      <c r="Z32" s="153"/>
    </row>
    <row r="33" spans="1:28" s="34" customFormat="1" ht="75" customHeight="1">
      <c r="A33" s="148" t="s">
        <v>108</v>
      </c>
      <c r="B33" s="149"/>
      <c r="C33" s="149"/>
      <c r="D33" s="149"/>
      <c r="E33" s="149"/>
      <c r="F33" s="150"/>
      <c r="G33" s="94" t="s">
        <v>99</v>
      </c>
      <c r="H33" s="151" t="s">
        <v>107</v>
      </c>
      <c r="I33" s="152"/>
      <c r="J33" s="152"/>
      <c r="K33" s="152"/>
      <c r="L33" s="152"/>
      <c r="M33" s="152"/>
      <c r="N33" s="152"/>
      <c r="O33" s="152"/>
      <c r="P33" s="152"/>
      <c r="Q33" s="152"/>
      <c r="R33" s="152"/>
      <c r="S33" s="152"/>
      <c r="T33" s="152"/>
      <c r="U33" s="152"/>
      <c r="V33" s="153"/>
      <c r="W33" s="95" t="s">
        <v>100</v>
      </c>
      <c r="X33" s="151" t="s">
        <v>106</v>
      </c>
      <c r="Y33" s="152"/>
      <c r="Z33" s="153"/>
    </row>
    <row r="34" spans="1:28" s="34" customFormat="1" ht="39.75" customHeight="1">
      <c r="A34" s="108"/>
      <c r="B34" s="109"/>
      <c r="C34" s="109"/>
      <c r="D34" s="109"/>
      <c r="E34" s="109"/>
      <c r="F34" s="110"/>
      <c r="G34" s="48"/>
      <c r="H34" s="111"/>
      <c r="I34" s="112"/>
      <c r="J34" s="112"/>
      <c r="K34" s="112"/>
      <c r="L34" s="112"/>
      <c r="M34" s="112"/>
      <c r="N34" s="113"/>
      <c r="O34" s="113"/>
      <c r="P34" s="113"/>
      <c r="Q34" s="113"/>
      <c r="R34" s="113"/>
      <c r="S34" s="113"/>
      <c r="T34" s="113"/>
      <c r="U34" s="113"/>
      <c r="V34" s="114"/>
      <c r="W34" s="49"/>
      <c r="X34" s="111"/>
      <c r="Y34" s="113"/>
      <c r="Z34" s="11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陳博仁  Ext.:23341</v>
      </c>
      <c r="E36" s="51"/>
      <c r="F36" s="51"/>
      <c r="G36" s="51"/>
      <c r="H36" s="93" t="str">
        <f>Data1!L2</f>
        <v>CB-0176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6" t="s">
        <v>54</v>
      </c>
      <c r="W36" s="97"/>
      <c r="X36" s="97"/>
      <c r="Y36" s="97"/>
      <c r="Z36" s="97"/>
      <c r="AA36" s="83"/>
      <c r="AB36" s="50"/>
    </row>
    <row r="37" spans="1:28" s="34" customFormat="1" ht="33.950000000000003" customHeight="1">
      <c r="A37" s="115"/>
      <c r="B37" s="116"/>
      <c r="C37" s="116"/>
      <c r="D37" s="116"/>
      <c r="E37" s="116"/>
      <c r="F37" s="116"/>
      <c r="G37" s="38"/>
      <c r="H37" s="115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5"/>
      <c r="B38" s="116"/>
      <c r="C38" s="116"/>
      <c r="D38" s="116"/>
      <c r="E38" s="116"/>
      <c r="F38" s="116"/>
      <c r="G38" s="38"/>
      <c r="H38" s="115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5"/>
      <c r="B40" s="116"/>
      <c r="C40" s="116"/>
      <c r="D40" s="116"/>
      <c r="E40" s="116"/>
      <c r="F40" s="116"/>
      <c r="G40" s="38"/>
      <c r="H40" s="115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5"/>
      <c r="B41" s="116"/>
      <c r="C41" s="116"/>
      <c r="D41" s="116"/>
      <c r="E41" s="116"/>
      <c r="F41" s="116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6" t="s">
        <v>55</v>
      </c>
      <c r="W42" s="117"/>
      <c r="X42" s="117"/>
      <c r="Y42" s="117"/>
      <c r="Z42" s="117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6" t="s">
        <v>0</v>
      </c>
      <c r="W43" s="118"/>
      <c r="X43" s="118"/>
      <c r="Y43" s="118"/>
      <c r="Z43" s="11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2" t="s">
        <v>114</v>
      </c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</row>
    <row r="46" spans="1:28" s="34" customFormat="1" ht="41.25" customHeight="1">
      <c r="A46" s="100" t="s">
        <v>111</v>
      </c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00" t="s">
        <v>59</v>
      </c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</row>
    <row r="49" spans="1:28" s="34" customFormat="1" ht="41.25" customHeight="1">
      <c r="A49" s="56"/>
      <c r="B49" s="57"/>
      <c r="C49" s="60"/>
      <c r="D49" s="100" t="s">
        <v>60</v>
      </c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</row>
    <row r="50" spans="1:28" s="34" customFormat="1" ht="41.25" customHeight="1">
      <c r="A50" s="56"/>
      <c r="B50" s="57"/>
      <c r="C50" s="57" t="s">
        <v>56</v>
      </c>
      <c r="D50" s="103" t="s">
        <v>51</v>
      </c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00" t="s">
        <v>61</v>
      </c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</row>
    <row r="53" spans="1:28" s="34" customFormat="1" ht="41.25" customHeight="1">
      <c r="A53" s="56"/>
      <c r="B53" s="57"/>
      <c r="C53" s="63"/>
      <c r="D53" s="100" t="s">
        <v>60</v>
      </c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78</v>
      </c>
      <c r="D55" s="101" t="s">
        <v>62</v>
      </c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</row>
    <row r="56" spans="1:28" s="34" customFormat="1" ht="41.25" customHeight="1">
      <c r="A56" s="56"/>
      <c r="B56" s="57"/>
      <c r="C56" s="63"/>
      <c r="D56" s="100" t="s">
        <v>60</v>
      </c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</row>
    <row r="57" spans="1:28" s="34" customFormat="1" ht="41.25" customHeight="1">
      <c r="A57" s="56"/>
      <c r="B57" s="57"/>
      <c r="C57" s="62" t="s">
        <v>113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112</v>
      </c>
      <c r="D58" s="105" t="s">
        <v>70</v>
      </c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</row>
    <row r="59" spans="1:28" s="34" customFormat="1" ht="41.25" customHeight="1">
      <c r="A59" s="56"/>
      <c r="B59" s="57"/>
      <c r="C59" s="63"/>
      <c r="D59" s="100" t="s">
        <v>63</v>
      </c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00" t="s">
        <v>64</v>
      </c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</row>
    <row r="62" spans="1:28" s="34" customFormat="1" ht="41.25" customHeight="1">
      <c r="A62" s="56"/>
      <c r="B62" s="57"/>
      <c r="C62" s="63"/>
      <c r="D62" s="100" t="s">
        <v>65</v>
      </c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00" t="s">
        <v>85</v>
      </c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6"/>
      <c r="V64" s="106"/>
      <c r="W64" s="106"/>
      <c r="X64" s="106"/>
      <c r="Y64" s="107"/>
      <c r="Z64" s="107"/>
      <c r="AA64" s="107"/>
      <c r="AB64" s="58"/>
    </row>
    <row r="65" spans="1:28" s="34" customFormat="1" ht="41.25" customHeight="1">
      <c r="A65" s="56"/>
      <c r="B65" s="66"/>
      <c r="C65" s="100" t="s">
        <v>67</v>
      </c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58"/>
    </row>
    <row r="66" spans="1:28" s="34" customFormat="1" ht="41.25" customHeight="1">
      <c r="A66" s="56"/>
      <c r="B66" s="67" t="s">
        <v>68</v>
      </c>
      <c r="C66" s="100" t="s">
        <v>86</v>
      </c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58"/>
    </row>
    <row r="67" spans="1:28" s="34" customFormat="1" ht="41.25" customHeight="1">
      <c r="A67" s="56"/>
      <c r="B67" s="66"/>
      <c r="C67" s="100" t="s">
        <v>71</v>
      </c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58"/>
    </row>
    <row r="68" spans="1:28" s="34" customFormat="1" ht="41.25" customHeight="1">
      <c r="A68" s="56"/>
      <c r="B68" s="67" t="s">
        <v>68</v>
      </c>
      <c r="C68" s="101" t="s">
        <v>82</v>
      </c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58"/>
    </row>
    <row r="69" spans="1:28" s="34" customFormat="1" ht="41.25" customHeight="1">
      <c r="A69" s="56"/>
      <c r="B69" s="66"/>
      <c r="C69" s="100" t="s">
        <v>72</v>
      </c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58"/>
    </row>
    <row r="70" spans="1:28" s="34" customFormat="1" ht="60.75" customHeight="1">
      <c r="A70" s="56"/>
      <c r="B70" s="66" t="s">
        <v>41</v>
      </c>
      <c r="C70" s="99" t="s">
        <v>88</v>
      </c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58"/>
    </row>
    <row r="71" spans="1:28" s="34" customFormat="1" ht="41.25" customHeight="1">
      <c r="A71" s="56"/>
      <c r="B71" s="66"/>
      <c r="C71" s="100" t="s">
        <v>69</v>
      </c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58"/>
    </row>
    <row r="72" spans="1:28" ht="33.950000000000003" customHeight="1">
      <c r="A72" s="21"/>
      <c r="B72" s="24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2022-03-09T01:51:38Z</cp:lastPrinted>
  <dcterms:created xsi:type="dcterms:W3CDTF">2008-09-29T00:47:34Z</dcterms:created>
  <dcterms:modified xsi:type="dcterms:W3CDTF">2022-03-09T01:51:46Z</dcterms:modified>
</cp:coreProperties>
</file>