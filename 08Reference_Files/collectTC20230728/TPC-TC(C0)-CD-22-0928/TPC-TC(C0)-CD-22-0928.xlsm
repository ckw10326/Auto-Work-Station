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2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<sst xmlns="http://schemas.openxmlformats.org/spreadsheetml/2006/main" count="198" uniqueCount="121">
  <si>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</si>
  <si>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</si>
  <si>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</si>
  <si>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</si>
  <si>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</si>
  <si>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</si>
  <si>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</si>
  <si>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</si>
  <si>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</si>
  <si>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</si>
  <si>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</si>
  <si>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</si>
  <si>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</si>
  <si>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</si>
  <si>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</si>
  <si>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</si>
  <si>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</si>
  <si>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</si>
  <si>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</si>
  <si>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</si>
  <si>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</si>
  <si>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</si>
  <si>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</si>
  <si>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</si>
  <si>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</si>
  <si>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</si>
  <si>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</si>
  <si>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</si>
  <si>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</si>
  <si>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</si>
  <si>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</si>
  <si>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</si>
  <si>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</si>
  <si>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</si>
  <si>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</si>
  <si>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</si>
  <si>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</si>
  <si>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</si>
  <si>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</si>
  <si>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</si>
  <si>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</si>
  <si>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</si>
  <si>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</si>
  <si>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</si>
  <si>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</si>
  <si>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</si>
  <si>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</si>
  <si>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</si>
  <si>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</si>
  <si>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</si>
  <si>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</si>
  <si>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</si>
  <si>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</si>
  <si>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</si>
  <si>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</si>
  <si>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</si>
  <si>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</si>
  <si>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</si>
  <si>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</si>
  <si>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</si>
  <si>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</si>
  <si>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</si>
  <si>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</si>
  <si>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</si>
  <si>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</si>
  <si>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</si>
  <si>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</si>
  <si>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</si>
  <si>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</si>
  <si>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</si>
  <si>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</si>
  <si>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</si>
  <si>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</si>
  <si>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</si>
  <si>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</si>
  <si>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</si>
  <si>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</si>
  <si>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</si>
  <si>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</si>
  <si>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</si>
  <si>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</si>
  <si>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</si>
  <si>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</si>
  <si>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</si>
  <si>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</si>
  <si>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</si>
  <si>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</si>
  <si>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</si>
  <si>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</si>
  <si>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</si>
  <si>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</si>
  <si>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RETUREDATE</t>
  </si>
  <si>
    <t>CTCIDOCNO</t>
  </si>
  <si>
    <t>TRDESC</t>
  </si>
  <si>
    <t>LE</t>
  </si>
  <si>
    <t>DOCDOCCLASS</t>
  </si>
  <si>
    <t>REVIEW</t>
  </si>
  <si>
    <t>TPC-TC(C0)-CD-22-0928</t>
  </si>
  <si>
    <t>IFA</t>
  </si>
  <si>
    <t>2022/09/23</t>
  </si>
  <si>
    <t>2022/08/24</t>
  </si>
  <si>
    <t>M0031-KTEH-9326</t>
  </si>
  <si>
    <t>Instrument List For Ammonia Vaporizer (=C10/20QCG01EB001)</t>
  </si>
  <si>
    <t>B</t>
  </si>
  <si>
    <t>A</t>
  </si>
  <si>
    <t>Instrument List, I/O List, Loop Wiring Diagram, Instrument Document For Ammonia Vaporizer (=C10/20QCG01EB001)</t>
  </si>
  <si>
    <t>TC0-1-KNM02-E9326</t>
  </si>
  <si>
    <t>張銘洋  Ext.:24270</t>
  </si>
  <si>
    <t>R</t>
  </si>
  <si>
    <t>VDR-M0031-KTEH-0027</t>
  </si>
  <si>
    <t>M0031-KTEH-9327</t>
  </si>
  <si>
    <t>I/O List For Ammonia Vaporizer (=C10/20QCG01EB001)</t>
  </si>
  <si>
    <t>TC0-1-KNM02-E9327</t>
  </si>
  <si>
    <t>M0031-KTEH-9328</t>
  </si>
  <si>
    <t>Loop Wiring Diagram For Ammonia Vaporizer (=C10/20QCG01EB001)</t>
  </si>
  <si>
    <t>TC0-1-KNM02-E9328</t>
  </si>
  <si>
    <t>M0031-KTEH-9330</t>
  </si>
  <si>
    <t>Instrument Document For Ammonia Vaporizer (=C10/20QCG01EB001)</t>
  </si>
  <si>
    <t>TC0-1-KNM02-E9330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</si>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</sst>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92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List,%20I/O%20List,%20Loop%20Wiring%20Diagram,%20Instrument%20Document%20For%20Ammonia%20Vaporizer%20(=C10/20QCG01EB001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91</v>
      </c>
      <c r="D1" s="26" t="s">
        <v>3</v>
      </c>
      <c r="E1" s="26" t="s">
        <v>92</v>
      </c>
      <c r="F1" s="26" t="s">
        <v>4</v>
      </c>
      <c r="G1" s="26" t="s">
        <v>5</v>
      </c>
      <c r="H1" s="26" t="s">
        <v>6</v>
      </c>
      <c r="I1" s="26" t="s">
        <v>93</v>
      </c>
      <c r="J1" s="26" t="s">
        <v>7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109</v>
      </c>
      <c r="N2" s="29"/>
      <c r="O2" s="31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110</v>
      </c>
      <c r="F3" s="28" t="s">
        <v>111</v>
      </c>
      <c r="G3" s="27" t="s">
        <v>103</v>
      </c>
      <c r="H3" s="27" t="s">
        <v>104</v>
      </c>
      <c r="I3" s="28" t="s">
        <v>105</v>
      </c>
      <c r="J3" s="27" t="s">
        <v>112</v>
      </c>
      <c r="K3" s="27" t="s">
        <v>107</v>
      </c>
      <c r="L3" s="27" t="s">
        <v>108</v>
      </c>
      <c r="M3" s="28" t="s">
        <v>109</v>
      </c>
      <c r="N3" s="29"/>
      <c r="O3" s="31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113</v>
      </c>
      <c r="F4" s="28" t="s">
        <v>114</v>
      </c>
      <c r="G4" s="27" t="s">
        <v>103</v>
      </c>
      <c r="H4" s="27" t="s">
        <v>104</v>
      </c>
      <c r="I4" s="28" t="s">
        <v>105</v>
      </c>
      <c r="J4" s="27" t="s">
        <v>115</v>
      </c>
      <c r="K4" s="27" t="s">
        <v>107</v>
      </c>
      <c r="L4" s="27" t="s">
        <v>108</v>
      </c>
      <c r="M4" s="28" t="s">
        <v>109</v>
      </c>
      <c r="N4" s="29"/>
      <c r="O4" s="31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116</v>
      </c>
      <c r="F5" s="28" t="s">
        <v>117</v>
      </c>
      <c r="G5" s="27" t="s">
        <v>103</v>
      </c>
      <c r="H5" s="27" t="s">
        <v>104</v>
      </c>
      <c r="I5" s="28" t="s">
        <v>105</v>
      </c>
      <c r="J5" s="27" t="s">
        <v>118</v>
      </c>
      <c r="K5" s="27" t="s">
        <v>107</v>
      </c>
      <c r="L5" s="27" t="s">
        <v>108</v>
      </c>
      <c r="M5" s="28" t="s">
        <v>109</v>
      </c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C27" sqref="C27:AA2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28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31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29</v>
      </c>
      <c r="W7" s="92"/>
      <c r="X7" s="123" t="str">
        <f>Data1!D2</f>
        <v>2022/08/24</v>
      </c>
      <c r="Y7" s="124"/>
      <c r="Z7" s="124"/>
      <c r="AA7" s="95"/>
      <c r="AB7" s="89"/>
    </row>
    <row r="8" spans="1:28" s="36" customFormat="1" ht="36.75" customHeight="1">
      <c r="A8" s="32" t="s">
        <v>32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30</v>
      </c>
      <c r="W8" s="93"/>
      <c r="X8" s="125" t="str">
        <f>Data1!A2</f>
        <v>TPC-TC(C0)-CD-22-0928</v>
      </c>
      <c r="Y8" s="117"/>
      <c r="Z8" s="117"/>
      <c r="AA8" s="96"/>
      <c r="AB8" s="96"/>
    </row>
    <row r="9" spans="1:28" s="36" customFormat="1" ht="36.75" customHeight="1">
      <c r="A9" s="32" t="s">
        <v>33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34</v>
      </c>
      <c r="B10" s="32"/>
      <c r="C10" s="37" t="s">
        <v>35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80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36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37</v>
      </c>
      <c r="B18" s="118" t="str">
        <f>Data1!I2</f>
        <v>Instrument List, I/O List, Loop Wiring Diagram, Instrument Document For Ammonia Vaporizer (=C10/20QCG01EB001)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38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39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120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56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78</v>
      </c>
      <c r="C24" s="115" t="s">
        <v>57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40</v>
      </c>
      <c r="C25" s="107" t="s">
        <v>41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58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40</v>
      </c>
      <c r="C27" s="105" t="s">
        <v>42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40</v>
      </c>
      <c r="C28" s="42" t="s">
        <v>43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73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44</v>
      </c>
      <c r="B31" s="130"/>
      <c r="C31" s="130"/>
      <c r="D31" s="130"/>
      <c r="E31" s="130"/>
      <c r="F31" s="131"/>
      <c r="G31" s="48" t="s">
        <v>45</v>
      </c>
      <c r="H31" s="132" t="s">
        <v>46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47</v>
      </c>
      <c r="X31" s="132" t="s">
        <v>48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55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81</v>
      </c>
      <c r="B36" s="53"/>
      <c r="C36" s="53"/>
      <c r="D36" s="99" t="str">
        <f>Data1!K2</f>
        <v>張銘洋  Ext.:24270</v>
      </c>
      <c r="E36" s="53"/>
      <c r="F36" s="53"/>
      <c r="G36" s="53"/>
      <c r="H36" s="101" t="str">
        <f>Data1!M2</f>
        <v>VDR-M0031-KTEH-0027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52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53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49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119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79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78</v>
      </c>
      <c r="C47" s="58" t="s">
        <v>84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78</v>
      </c>
      <c r="D48" s="151" t="s">
        <v>59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60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54</v>
      </c>
      <c r="D50" s="152" t="s">
        <v>50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78</v>
      </c>
      <c r="C51" s="55" t="s">
        <v>85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78</v>
      </c>
      <c r="D52" s="151" t="s">
        <v>61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60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78</v>
      </c>
      <c r="C54" s="58" t="s">
        <v>82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78</v>
      </c>
      <c r="D55" s="148" t="s">
        <v>62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60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54</v>
      </c>
      <c r="D57" s="58" t="s">
        <v>51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40</v>
      </c>
      <c r="D58" s="150" t="s">
        <v>70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63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54</v>
      </c>
      <c r="C60" s="100" t="s">
        <v>88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54</v>
      </c>
      <c r="D61" s="151" t="s">
        <v>64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65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66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54</v>
      </c>
      <c r="C64" s="151" t="s">
        <v>86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67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68</v>
      </c>
      <c r="C66" s="151" t="s">
        <v>87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71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68</v>
      </c>
      <c r="C68" s="148" t="s">
        <v>83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72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40</v>
      </c>
      <c r="C70" s="156" t="s">
        <v>89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69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74</v>
      </c>
      <c r="B1" s="77" t="s">
        <v>75</v>
      </c>
    </row>
    <row r="2" spans="1:2">
      <c r="A2" s="77" t="s">
        <v>76</v>
      </c>
      <c r="B2" s="77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C27" sqref="C27:AA27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29</v>
      </c>
      <c r="X4" s="92"/>
      <c r="Y4" s="168" t="str">
        <f>Data1!D2</f>
        <v>2022/08/24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30</v>
      </c>
      <c r="X5" s="94"/>
      <c r="Y5" s="170" t="str">
        <f>Data1!A2</f>
        <v>TPC-TC(C0)-CD-22-0928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73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44</v>
      </c>
      <c r="B9" s="176"/>
      <c r="C9" s="176"/>
      <c r="D9" s="176"/>
      <c r="E9" s="176"/>
      <c r="F9" s="177"/>
      <c r="G9" s="97" t="s">
        <v>45</v>
      </c>
      <c r="H9" s="178" t="s">
        <v>46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47</v>
      </c>
      <c r="X9" s="178" t="s">
        <v>48</v>
      </c>
      <c r="Y9" s="181"/>
      <c r="Z9" s="182"/>
    </row>
    <row r="10" spans="1:28" s="36" customFormat="1" ht="120" customHeight="1">
      <c r="A10" s="157" t="s">
        <v>106</v>
      </c>
      <c r="B10" s="158"/>
      <c r="C10" s="158"/>
      <c r="D10" s="158"/>
      <c r="E10" s="158"/>
      <c r="F10" s="159"/>
      <c r="G10" s="102" t="s">
        <v>103</v>
      </c>
      <c r="H10" s="160" t="s">
        <v>102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104</v>
      </c>
      <c r="X10" s="160" t="s">
        <v>101</v>
      </c>
      <c r="Y10" s="161"/>
      <c r="Z10" s="162"/>
      <c r="AA10" s="104"/>
      <c r="AB10" s="104"/>
    </row>
    <row r="11" spans="1:28" s="36" customFormat="1" ht="120" customHeight="1">
      <c r="A11" s="157" t="s">
        <v>112</v>
      </c>
      <c r="B11" s="158"/>
      <c r="C11" s="158"/>
      <c r="D11" s="158"/>
      <c r="E11" s="158"/>
      <c r="F11" s="159"/>
      <c r="G11" s="102" t="s">
        <v>103</v>
      </c>
      <c r="H11" s="160" t="s">
        <v>111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104</v>
      </c>
      <c r="X11" s="160" t="s">
        <v>110</v>
      </c>
      <c r="Y11" s="161"/>
      <c r="Z11" s="162"/>
      <c r="AA11" s="104"/>
      <c r="AB11" s="104"/>
    </row>
    <row r="12" spans="1:28" s="36" customFormat="1" ht="120" customHeight="1">
      <c r="A12" s="157" t="s">
        <v>115</v>
      </c>
      <c r="B12" s="158"/>
      <c r="C12" s="158"/>
      <c r="D12" s="158"/>
      <c r="E12" s="158"/>
      <c r="F12" s="159"/>
      <c r="G12" s="102" t="s">
        <v>103</v>
      </c>
      <c r="H12" s="160" t="s">
        <v>114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104</v>
      </c>
      <c r="X12" s="160" t="s">
        <v>113</v>
      </c>
      <c r="Y12" s="161"/>
      <c r="Z12" s="162"/>
      <c r="AA12" s="104"/>
      <c r="AB12" s="104"/>
    </row>
    <row r="13" spans="1:28" s="36" customFormat="1" ht="120" customHeight="1">
      <c r="A13" s="157" t="s">
        <v>118</v>
      </c>
      <c r="B13" s="158"/>
      <c r="C13" s="158"/>
      <c r="D13" s="158"/>
      <c r="E13" s="158"/>
      <c r="F13" s="159"/>
      <c r="G13" s="102" t="s">
        <v>103</v>
      </c>
      <c r="H13" s="160" t="s">
        <v>117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104</v>
      </c>
      <c r="X13" s="160" t="s">
        <v>116</v>
      </c>
      <c r="Y13" s="161"/>
      <c r="Z13" s="162"/>
      <c r="AA13" s="104"/>
      <c r="AB13" s="104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90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2022-08-24T07:42:20Z</cp:lastPrinted>
  <dcterms:created xsi:type="dcterms:W3CDTF">2008-09-29T00:47:34Z</dcterms:created>
  <dcterms:modified xsi:type="dcterms:W3CDTF">2022-08-24T07:42:35Z</dcterms:modified>
</cp:coreProperties>
</file>