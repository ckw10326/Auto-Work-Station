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1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2'!$A$1:$AB$43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<sst xmlns="http://schemas.openxmlformats.org/spreadsheetml/2006/main" count="666" uniqueCount="198">
  <si>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</si>
  <si>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</si>
  <si>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</si>
  <si>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</si>
  <si>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</si>
  <si>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</si>
  <si>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</si>
  <si>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</si>
  <si>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</si>
  <si>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</si>
  <si>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</si>
  <si>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</si>
  <si>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</si>
  <si>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</si>
  <si>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</si>
  <si>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</si>
  <si>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</si>
  <si>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</si>
  <si>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</si>
  <si>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</si>
  <si>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</si>
  <si>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</si>
  <si>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</si>
  <si>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</si>
  <si>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</si>
  <si>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</si>
  <si>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</si>
  <si>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</si>
  <si>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</si>
  <si>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</si>
  <si>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</si>
  <si>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</si>
  <si>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</si>
  <si>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</si>
  <si>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</si>
  <si>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</si>
  <si>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</si>
  <si>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</si>
  <si>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</si>
  <si>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</si>
  <si>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</si>
  <si>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</si>
  <si>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</si>
  <si>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</si>
  <si>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</si>
  <si>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</si>
  <si>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</si>
  <si>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</si>
  <si>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</si>
  <si>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</si>
  <si>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</si>
  <si>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</si>
  <si>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</si>
  <si>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</si>
  <si>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</si>
  <si>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</si>
  <si>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</si>
  <si>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</si>
  <si>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</si>
  <si>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</si>
  <si>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</si>
  <si>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</si>
  <si>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</si>
  <si>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</si>
  <si>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</si>
  <si>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</si>
  <si>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</si>
  <si>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</si>
  <si>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</si>
  <si>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</si>
  <si>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</si>
  <si>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</si>
  <si>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</si>
  <si>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</si>
  <si>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</si>
  <si>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</si>
  <si>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</si>
  <si>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</si>
  <si>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</si>
  <si>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</si>
  <si>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</si>
  <si>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</si>
  <si>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</si>
  <si>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</si>
  <si>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</si>
  <si>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</si>
  <si>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</si>
  <si>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</si>
  <si>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</si>
  <si>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</si>
  <si>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</si>
  <si>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</si>
  <si>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</si>
  <si>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</si>
  <si>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</si>
  <si>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</si>
  <si>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</si>
  <si>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TPC-TC(C0)-CD-22-0610</t>
  </si>
  <si>
    <t>IFA</t>
  </si>
  <si>
    <t>2022/08/06</t>
  </si>
  <si>
    <t>2022/07/06</t>
  </si>
  <si>
    <t>XF34-5000-002C</t>
  </si>
  <si>
    <t>CALCULATION SHEET FOR CABLE TUNNEL (CBT-5001) FOR STRUCTURE ON POWER BLOCK AREA</t>
  </si>
  <si>
    <t>B</t>
  </si>
  <si>
    <t>A</t>
  </si>
  <si>
    <t>電纜涵洞(CBT-5001) - 廠區內 - 結構圖_RA,RB</t>
  </si>
  <si>
    <t>TC0-1-CIC02-C5002</t>
  </si>
  <si>
    <t>陳博仁  Ext.:23341</t>
  </si>
  <si>
    <t>CB-0300</t>
  </si>
  <si>
    <t>XF34-5000-030</t>
  </si>
  <si>
    <t>電纜涵洞(CBT-5001)頂版平面圖(9) CABLE TUNNEL (CBT-5001) TOP SLAB PLAN(9)</t>
  </si>
  <si>
    <t>TC0-1-CIC02-D5030</t>
  </si>
  <si>
    <t>XF34-5000-031</t>
  </si>
  <si>
    <t>電纜涵洞(CBT-5001)頂版平面圖(10) CABLE TUNNEL (CBT-5001) TOP SLAB PLAN(10)</t>
  </si>
  <si>
    <t>TC0-1-CIC02-D5031</t>
  </si>
  <si>
    <t>XF34-5000-032</t>
  </si>
  <si>
    <t>電纜涵洞(CBT-5001)頂版平面圖(11) CABLE TUNNEL (CBT-5001) TOP SLAB PLAN(11)</t>
  </si>
  <si>
    <t>TC0-1-CIC02-D5032</t>
  </si>
  <si>
    <t>XF34-5000-033</t>
  </si>
  <si>
    <t>電纜涵洞(CBT-5001)頂版平面圖(12) CABLE TUNNEL (CBT-5001) TOP SLAB PLAN(12)</t>
  </si>
  <si>
    <t>TC0-1-CIC02-D5033</t>
  </si>
  <si>
    <t>XF34-5000-042</t>
  </si>
  <si>
    <t>電纜涵洞(CBT-5001)底版平面圖(9) CABLE TUNNEL (CBT-5001) BOT SLAB PLAN(9)</t>
  </si>
  <si>
    <t>TC0-1-CIC02-D5042</t>
  </si>
  <si>
    <t>XF34-5000-043</t>
  </si>
  <si>
    <t>電纜涵洞(CBT-5001)底版平面圖(10) CABLE TUNNEL (CBT-5001) BOT SLAB PLAN(10)</t>
  </si>
  <si>
    <t>TC0-1-CIC02-D5043</t>
  </si>
  <si>
    <t>XF34-5000-044</t>
  </si>
  <si>
    <t>電纜涵洞(CBT-5001)底版平面圖(11) CABLE TUNNEL (CBT-5001) BOT SLAB PLAN(11)</t>
  </si>
  <si>
    <t>TC0-1-CIC02-D5044</t>
  </si>
  <si>
    <t>XF34-5000-045</t>
  </si>
  <si>
    <t>電纜涵洞(CBT-5001)底版平面圖(12) CABLE TUNNEL (CBT-5001) BOT SLAB PLAN(12)</t>
  </si>
  <si>
    <t>TC0-1-CIC02-D5045</t>
  </si>
  <si>
    <t>XF34-5000-050</t>
  </si>
  <si>
    <t>電纜涵洞(CBT-5001)縱剖面總圖(5) CABLE TUNNEL (CBT-5001) SECTION PLAN (5)</t>
  </si>
  <si>
    <t>TC0-1-CIC02-D5050</t>
  </si>
  <si>
    <t>XF34-5000-057</t>
  </si>
  <si>
    <t>電纜涵洞(CBT-5001)縱剖面圖(7) CABLE TUNNEL (CBT-5001) SECTION (7)</t>
  </si>
  <si>
    <t>TC0-1-CIC02-D5057</t>
  </si>
  <si>
    <t>XF34-5000-058</t>
  </si>
  <si>
    <t>電纜涵洞(CBT-5001)縱剖面圖(8) CABLE TUNNEL (CBT-5001) SECTION (8)</t>
  </si>
  <si>
    <t>TC0-1-CIC02-D5058</t>
  </si>
  <si>
    <t>XF34-5000-059</t>
  </si>
  <si>
    <t>電纜涵洞(CBT-5001)縱剖面圖(9) CABLE TUNNEL (CBT-5001) SECTION (9)</t>
  </si>
  <si>
    <t>TC0-1-CIC02-D5059</t>
  </si>
  <si>
    <t>XF34-5000-062</t>
  </si>
  <si>
    <t>電纜涵洞(CBT-5001)詳細圖與剖面圖(3) CABLE TUNNEL (CBT-5001) DETAIL &amp; SECTION (3)</t>
  </si>
  <si>
    <t>TC0-1-CIC02-D5062</t>
  </si>
  <si>
    <t>XF34-5000-063</t>
  </si>
  <si>
    <t>電纜涵洞(CBT-5001)詳細圖與剖面圖(4) CABLE TUNNEL (CBT-5001) DETAIL &amp; SECTION (4)</t>
  </si>
  <si>
    <t>TC0-1-CIC02-D5063</t>
  </si>
  <si>
    <t>XF34-5000-106</t>
  </si>
  <si>
    <t>電纜涵洞(CBT-5001)詳細圖與剖面圖(47) CABLE TUNNEL (CBT-5001) DETAIL &amp; SECTION (47)</t>
  </si>
  <si>
    <t>TC0-1-CIC02-D5106</t>
  </si>
  <si>
    <t>XF34-5000-107</t>
  </si>
  <si>
    <t>電纜涵洞(CBT-5001)詳細圖與剖面圖(48) CABLE TUNNEL (CBT-5001) DETAIL &amp; SECTION (48)</t>
  </si>
  <si>
    <t>TC0-1-CIC02-D5107</t>
  </si>
  <si>
    <t>XF34-5000-110</t>
  </si>
  <si>
    <t>電纜涵洞(CBT-5001)詳細圖與剖面圖(51) CABLE TUNNEL (CBT-5001) DETAIL &amp; SECTION (51)</t>
  </si>
  <si>
    <t>TC0-1-CIC02-D5110</t>
  </si>
  <si>
    <t>XF34-5000-113</t>
  </si>
  <si>
    <t>電纜涵洞(CBT-5001)詳細圖與剖面圖(54) CABLE TUNNEL (CBT-5001) DETAIL &amp; SECTION (54)</t>
  </si>
  <si>
    <t>TC0-1-CIC02-D5113</t>
  </si>
  <si>
    <t>XF34-5000-115</t>
  </si>
  <si>
    <t>電纜涵洞(CBT-5001)詳細圖與剖面圖(56) CABLE TUNNEL (CBT-5001) DETAIL &amp; SECTION (56)</t>
  </si>
  <si>
    <t>TC0-1-CIC02-D5115</t>
  </si>
  <si>
    <t>XF34-5000-118</t>
  </si>
  <si>
    <t>電纜涵洞(CBT-5001)詳細圖與剖面圖(59) CABLE TUNNEL (CBT-5001) DETAIL &amp; SECTION (59)</t>
  </si>
  <si>
    <t>TC0-1-CIC02-D5118</t>
  </si>
  <si>
    <t>XF34-5000-120</t>
  </si>
  <si>
    <t>電纜涵洞(CBT-5001)詳細圖與剖面圖(61) CABLE TUNNEL (CBT-5001) DETAIL &amp; SECTION (61)</t>
  </si>
  <si>
    <t>TC0-1-CIC02-D5120</t>
  </si>
  <si>
    <t>XF34-5000-122</t>
  </si>
  <si>
    <t>電纜涵洞(CBT-5001)詳細圖與剖面圖(63) CABLE TUNNEL (CBT-5001) DETAIL &amp; SECTION (63)</t>
  </si>
  <si>
    <t>TC0-1-CIC02-D5122</t>
  </si>
  <si>
    <t>XF34-5000-161</t>
  </si>
  <si>
    <t>電纜涵洞(CBT-5001)預埋件平面圖(11) CABLE TUNNEL (CBT-5001) EMBEDDED MATERIAL PLAN (11)</t>
  </si>
  <si>
    <t>TC0-1-CIC02-D5161</t>
  </si>
  <si>
    <t>XF34-5000-162</t>
  </si>
  <si>
    <t>電纜涵洞(CBT-5001)預埋件平面圖(12) CABLE TUNNEL (CBT-5001) EMBEDDED MATERIAL PLAN (12)</t>
  </si>
  <si>
    <t>TC0-1-CIC02-D5162</t>
  </si>
  <si>
    <t>XF34-5000-163</t>
  </si>
  <si>
    <t>電纜涵洞(CBT-5001)預埋件平面圖(13) CABLE TUNNEL (CBT-5001) EMBEDDED MATERIAL PLAN (13)</t>
  </si>
  <si>
    <t>TC0-1-CIC02-D5163</t>
  </si>
  <si>
    <t>XF34-5000-164</t>
  </si>
  <si>
    <t>電纜涵洞(CBT-5001)預埋件平面圖(14) CABLE TUNNEL (CBT-5001) EMBEDDED MATERIAL PLAN (14)</t>
  </si>
  <si>
    <t>TC0-1-CIC02-D5164</t>
  </si>
  <si>
    <t>XF34-5000-165</t>
  </si>
  <si>
    <t>電纜涵洞(CBT-5001)預埋件平面圖(15) CABLE TUNNEL (CBT-5001) EMBEDDED MATERIAL PLAN (15)</t>
  </si>
  <si>
    <t>TC0-1-CIC02-D5165</t>
  </si>
  <si>
    <t>XF34-5000-166</t>
  </si>
  <si>
    <t>電纜涵洞(CBT-5001)預埋件平面圖(16) CABLE TUNNEL (CBT-5001) EMBEDDED MATERIAL PLAN (16)</t>
  </si>
  <si>
    <t>TC0-1-CIC02-D5166</t>
  </si>
  <si>
    <t>XF34-5000-167</t>
  </si>
  <si>
    <t>電纜涵洞(CBT-5001)預埋件平面圖(17) CABLE TUNNEL (CBT-5001) EMBEDDED MATERIAL PLAN (17)</t>
  </si>
  <si>
    <t>TC0-1-CIC02-D5167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</si>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</sst>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1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61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38651;&#32412;&#28085;&#27934;(CBT-5001)%20-%20&#24288;&#21312;&#20839;%20-%20&#32080;&#27083;&#22294;_RA,R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31"/>
  <sheetViews>
    <sheetView workbookViewId="0">
      <selection activeCell="A2" sqref="A2:Q31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0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0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0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0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118</v>
      </c>
      <c r="F6" s="28" t="s">
        <v>119</v>
      </c>
      <c r="G6" s="27" t="s">
        <v>103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28" t="s">
        <v>104</v>
      </c>
      <c r="N6" s="29"/>
      <c r="O6" s="30"/>
      <c r="P6" s="29"/>
      <c r="Q6" s="29"/>
    </row>
    <row r="7" spans="1:17" s="13" customFormat="1">
      <c r="A7" s="27" t="s">
        <v>97</v>
      </c>
      <c r="B7" s="27" t="s">
        <v>98</v>
      </c>
      <c r="C7" s="27" t="s">
        <v>99</v>
      </c>
      <c r="D7" s="27" t="s">
        <v>100</v>
      </c>
      <c r="E7" s="27" t="s">
        <v>121</v>
      </c>
      <c r="F7" s="28" t="s">
        <v>122</v>
      </c>
      <c r="G7" s="27" t="s">
        <v>103</v>
      </c>
      <c r="H7" s="27" t="s">
        <v>104</v>
      </c>
      <c r="I7" s="28" t="s">
        <v>105</v>
      </c>
      <c r="J7" s="27" t="s">
        <v>123</v>
      </c>
      <c r="K7" s="27" t="s">
        <v>107</v>
      </c>
      <c r="L7" s="27" t="s">
        <v>108</v>
      </c>
      <c r="M7" s="28" t="s">
        <v>104</v>
      </c>
      <c r="N7" s="29"/>
      <c r="O7" s="30"/>
      <c r="P7" s="29"/>
      <c r="Q7" s="29"/>
    </row>
    <row r="8" spans="1:17" s="13" customFormat="1">
      <c r="A8" s="27" t="s">
        <v>97</v>
      </c>
      <c r="B8" s="27" t="s">
        <v>98</v>
      </c>
      <c r="C8" s="27" t="s">
        <v>99</v>
      </c>
      <c r="D8" s="27" t="s">
        <v>100</v>
      </c>
      <c r="E8" s="27" t="s">
        <v>124</v>
      </c>
      <c r="F8" s="28" t="s">
        <v>125</v>
      </c>
      <c r="G8" s="27" t="s">
        <v>103</v>
      </c>
      <c r="H8" s="27" t="s">
        <v>104</v>
      </c>
      <c r="I8" s="28" t="s">
        <v>105</v>
      </c>
      <c r="J8" s="27" t="s">
        <v>126</v>
      </c>
      <c r="K8" s="27" t="s">
        <v>107</v>
      </c>
      <c r="L8" s="27" t="s">
        <v>108</v>
      </c>
      <c r="M8" s="28" t="s">
        <v>104</v>
      </c>
      <c r="N8" s="29"/>
      <c r="O8" s="30"/>
      <c r="P8" s="29"/>
      <c r="Q8" s="29"/>
    </row>
    <row r="9" spans="1:17" s="13" customFormat="1">
      <c r="A9" s="27" t="s">
        <v>97</v>
      </c>
      <c r="B9" s="27" t="s">
        <v>98</v>
      </c>
      <c r="C9" s="27" t="s">
        <v>99</v>
      </c>
      <c r="D9" s="27" t="s">
        <v>100</v>
      </c>
      <c r="E9" s="27" t="s">
        <v>127</v>
      </c>
      <c r="F9" s="28" t="s">
        <v>128</v>
      </c>
      <c r="G9" s="27" t="s">
        <v>103</v>
      </c>
      <c r="H9" s="27" t="s">
        <v>104</v>
      </c>
      <c r="I9" s="28" t="s">
        <v>105</v>
      </c>
      <c r="J9" s="27" t="s">
        <v>129</v>
      </c>
      <c r="K9" s="27" t="s">
        <v>107</v>
      </c>
      <c r="L9" s="27" t="s">
        <v>108</v>
      </c>
      <c r="M9" s="28" t="s">
        <v>104</v>
      </c>
      <c r="N9" s="29"/>
      <c r="O9" s="30"/>
      <c r="P9" s="29"/>
      <c r="Q9" s="29"/>
    </row>
    <row r="10" spans="1:17">
      <c r="A10" s="76" t="s">
        <v>97</v>
      </c>
      <c r="B10" s="76" t="s">
        <v>98</v>
      </c>
      <c r="C10" s="76" t="s">
        <v>99</v>
      </c>
      <c r="D10" s="76" t="s">
        <v>100</v>
      </c>
      <c r="E10" s="76" t="s">
        <v>130</v>
      </c>
      <c r="F10" s="76" t="s">
        <v>131</v>
      </c>
      <c r="G10" s="76" t="s">
        <v>103</v>
      </c>
      <c r="H10" s="76" t="s">
        <v>104</v>
      </c>
      <c r="I10" s="76" t="s">
        <v>105</v>
      </c>
      <c r="J10" s="76" t="s">
        <v>132</v>
      </c>
      <c r="K10" s="76" t="s">
        <v>107</v>
      </c>
      <c r="L10" s="76" t="s">
        <v>108</v>
      </c>
      <c r="M10" s="76" t="s">
        <v>104</v>
      </c>
    </row>
    <row r="11" spans="1:17">
      <c r="A11" s="76" t="s">
        <v>97</v>
      </c>
      <c r="B11" s="76" t="s">
        <v>98</v>
      </c>
      <c r="C11" s="76" t="s">
        <v>99</v>
      </c>
      <c r="D11" s="76" t="s">
        <v>100</v>
      </c>
      <c r="E11" s="76" t="s">
        <v>133</v>
      </c>
      <c r="F11" s="76" t="s">
        <v>134</v>
      </c>
      <c r="G11" s="76" t="s">
        <v>103</v>
      </c>
      <c r="H11" s="76" t="s">
        <v>104</v>
      </c>
      <c r="I11" s="76" t="s">
        <v>105</v>
      </c>
      <c r="J11" s="76" t="s">
        <v>135</v>
      </c>
      <c r="K11" s="76" t="s">
        <v>107</v>
      </c>
      <c r="L11" s="76" t="s">
        <v>108</v>
      </c>
      <c r="M11" s="76" t="s">
        <v>104</v>
      </c>
    </row>
    <row r="12" spans="1:17">
      <c r="A12" s="76" t="s">
        <v>97</v>
      </c>
      <c r="B12" s="76" t="s">
        <v>98</v>
      </c>
      <c r="C12" s="76" t="s">
        <v>99</v>
      </c>
      <c r="D12" s="76" t="s">
        <v>100</v>
      </c>
      <c r="E12" s="76" t="s">
        <v>136</v>
      </c>
      <c r="F12" s="76" t="s">
        <v>137</v>
      </c>
      <c r="G12" s="76" t="s">
        <v>103</v>
      </c>
      <c r="H12" s="76" t="s">
        <v>104</v>
      </c>
      <c r="I12" s="76" t="s">
        <v>105</v>
      </c>
      <c r="J12" s="76" t="s">
        <v>138</v>
      </c>
      <c r="K12" s="76" t="s">
        <v>107</v>
      </c>
      <c r="L12" s="76" t="s">
        <v>108</v>
      </c>
      <c r="M12" s="76" t="s">
        <v>104</v>
      </c>
    </row>
    <row r="13" spans="1:17">
      <c r="A13" s="76" t="s">
        <v>97</v>
      </c>
      <c r="B13" s="76" t="s">
        <v>98</v>
      </c>
      <c r="C13" s="76" t="s">
        <v>99</v>
      </c>
      <c r="D13" s="76" t="s">
        <v>100</v>
      </c>
      <c r="E13" s="76" t="s">
        <v>139</v>
      </c>
      <c r="F13" s="76" t="s">
        <v>140</v>
      </c>
      <c r="G13" s="76" t="s">
        <v>103</v>
      </c>
      <c r="H13" s="76" t="s">
        <v>104</v>
      </c>
      <c r="I13" s="76" t="s">
        <v>105</v>
      </c>
      <c r="J13" s="76" t="s">
        <v>141</v>
      </c>
      <c r="K13" s="76" t="s">
        <v>107</v>
      </c>
      <c r="L13" s="76" t="s">
        <v>108</v>
      </c>
      <c r="M13" s="76" t="s">
        <v>104</v>
      </c>
    </row>
    <row r="14" spans="1:17">
      <c r="A14" s="76" t="s">
        <v>97</v>
      </c>
      <c r="B14" s="76" t="s">
        <v>98</v>
      </c>
      <c r="C14" s="76" t="s">
        <v>99</v>
      </c>
      <c r="D14" s="76" t="s">
        <v>100</v>
      </c>
      <c r="E14" s="76" t="s">
        <v>142</v>
      </c>
      <c r="F14" s="76" t="s">
        <v>143</v>
      </c>
      <c r="G14" s="76" t="s">
        <v>103</v>
      </c>
      <c r="H14" s="76" t="s">
        <v>104</v>
      </c>
      <c r="I14" s="76" t="s">
        <v>105</v>
      </c>
      <c r="J14" s="76" t="s">
        <v>144</v>
      </c>
      <c r="K14" s="76" t="s">
        <v>107</v>
      </c>
      <c r="L14" s="76" t="s">
        <v>108</v>
      </c>
      <c r="M14" s="76" t="s">
        <v>104</v>
      </c>
    </row>
    <row r="15" spans="1:17">
      <c r="A15" s="76" t="s">
        <v>97</v>
      </c>
      <c r="B15" s="76" t="s">
        <v>98</v>
      </c>
      <c r="C15" s="76" t="s">
        <v>99</v>
      </c>
      <c r="D15" s="76" t="s">
        <v>100</v>
      </c>
      <c r="E15" s="76" t="s">
        <v>145</v>
      </c>
      <c r="F15" s="76" t="s">
        <v>146</v>
      </c>
      <c r="G15" s="76" t="s">
        <v>103</v>
      </c>
      <c r="H15" s="76" t="s">
        <v>104</v>
      </c>
      <c r="I15" s="76" t="s">
        <v>105</v>
      </c>
      <c r="J15" s="76" t="s">
        <v>147</v>
      </c>
      <c r="K15" s="76" t="s">
        <v>107</v>
      </c>
      <c r="L15" s="76" t="s">
        <v>108</v>
      </c>
      <c r="M15" s="76" t="s">
        <v>104</v>
      </c>
    </row>
    <row r="16" spans="1:17">
      <c r="A16" s="76" t="s">
        <v>97</v>
      </c>
      <c r="B16" s="76" t="s">
        <v>98</v>
      </c>
      <c r="C16" s="76" t="s">
        <v>99</v>
      </c>
      <c r="D16" s="76" t="s">
        <v>100</v>
      </c>
      <c r="E16" s="76" t="s">
        <v>148</v>
      </c>
      <c r="F16" s="76" t="s">
        <v>149</v>
      </c>
      <c r="G16" s="76" t="s">
        <v>103</v>
      </c>
      <c r="H16" s="76" t="s">
        <v>104</v>
      </c>
      <c r="I16" s="76" t="s">
        <v>105</v>
      </c>
      <c r="J16" s="76" t="s">
        <v>150</v>
      </c>
      <c r="K16" s="76" t="s">
        <v>107</v>
      </c>
      <c r="L16" s="76" t="s">
        <v>108</v>
      </c>
      <c r="M16" s="76" t="s">
        <v>104</v>
      </c>
    </row>
    <row r="17" spans="1:13">
      <c r="A17" s="76" t="s">
        <v>97</v>
      </c>
      <c r="B17" s="76" t="s">
        <v>98</v>
      </c>
      <c r="C17" s="76" t="s">
        <v>99</v>
      </c>
      <c r="D17" s="76" t="s">
        <v>100</v>
      </c>
      <c r="E17" s="76" t="s">
        <v>151</v>
      </c>
      <c r="F17" s="76" t="s">
        <v>152</v>
      </c>
      <c r="G17" s="76" t="s">
        <v>103</v>
      </c>
      <c r="H17" s="76" t="s">
        <v>104</v>
      </c>
      <c r="I17" s="76" t="s">
        <v>105</v>
      </c>
      <c r="J17" s="76" t="s">
        <v>153</v>
      </c>
      <c r="K17" s="76" t="s">
        <v>107</v>
      </c>
      <c r="L17" s="76" t="s">
        <v>108</v>
      </c>
      <c r="M17" s="76" t="s">
        <v>104</v>
      </c>
    </row>
    <row r="18" spans="1:13">
      <c r="A18" s="76" t="s">
        <v>97</v>
      </c>
      <c r="B18" s="76" t="s">
        <v>98</v>
      </c>
      <c r="C18" s="76" t="s">
        <v>99</v>
      </c>
      <c r="D18" s="76" t="s">
        <v>100</v>
      </c>
      <c r="E18" s="76" t="s">
        <v>154</v>
      </c>
      <c r="F18" s="76" t="s">
        <v>155</v>
      </c>
      <c r="G18" s="76" t="s">
        <v>103</v>
      </c>
      <c r="H18" s="76" t="s">
        <v>104</v>
      </c>
      <c r="I18" s="76" t="s">
        <v>105</v>
      </c>
      <c r="J18" s="76" t="s">
        <v>156</v>
      </c>
      <c r="K18" s="76" t="s">
        <v>107</v>
      </c>
      <c r="L18" s="76" t="s">
        <v>108</v>
      </c>
      <c r="M18" s="76" t="s">
        <v>104</v>
      </c>
    </row>
    <row r="19" spans="1:13">
      <c r="A19" s="76" t="s">
        <v>97</v>
      </c>
      <c r="B19" s="76" t="s">
        <v>98</v>
      </c>
      <c r="C19" s="76" t="s">
        <v>99</v>
      </c>
      <c r="D19" s="76" t="s">
        <v>100</v>
      </c>
      <c r="E19" s="76" t="s">
        <v>157</v>
      </c>
      <c r="F19" s="76" t="s">
        <v>158</v>
      </c>
      <c r="G19" s="76" t="s">
        <v>103</v>
      </c>
      <c r="H19" s="76" t="s">
        <v>104</v>
      </c>
      <c r="I19" s="76" t="s">
        <v>105</v>
      </c>
      <c r="J19" s="76" t="s">
        <v>159</v>
      </c>
      <c r="K19" s="76" t="s">
        <v>107</v>
      </c>
      <c r="L19" s="76" t="s">
        <v>108</v>
      </c>
      <c r="M19" s="76" t="s">
        <v>104</v>
      </c>
    </row>
    <row r="20" spans="1:13">
      <c r="A20" s="76" t="s">
        <v>97</v>
      </c>
      <c r="B20" s="76" t="s">
        <v>98</v>
      </c>
      <c r="C20" s="76" t="s">
        <v>99</v>
      </c>
      <c r="D20" s="76" t="s">
        <v>100</v>
      </c>
      <c r="E20" s="76" t="s">
        <v>160</v>
      </c>
      <c r="F20" s="76" t="s">
        <v>161</v>
      </c>
      <c r="G20" s="76" t="s">
        <v>103</v>
      </c>
      <c r="H20" s="76" t="s">
        <v>104</v>
      </c>
      <c r="I20" s="76" t="s">
        <v>105</v>
      </c>
      <c r="J20" s="76" t="s">
        <v>162</v>
      </c>
      <c r="K20" s="76" t="s">
        <v>107</v>
      </c>
      <c r="L20" s="76" t="s">
        <v>108</v>
      </c>
      <c r="M20" s="76" t="s">
        <v>104</v>
      </c>
    </row>
    <row r="21" spans="1:13">
      <c r="A21" s="76" t="s">
        <v>97</v>
      </c>
      <c r="B21" s="76" t="s">
        <v>98</v>
      </c>
      <c r="C21" s="76" t="s">
        <v>99</v>
      </c>
      <c r="D21" s="76" t="s">
        <v>100</v>
      </c>
      <c r="E21" s="76" t="s">
        <v>163</v>
      </c>
      <c r="F21" s="76" t="s">
        <v>164</v>
      </c>
      <c r="G21" s="76" t="s">
        <v>103</v>
      </c>
      <c r="H21" s="76" t="s">
        <v>104</v>
      </c>
      <c r="I21" s="76" t="s">
        <v>105</v>
      </c>
      <c r="J21" s="76" t="s">
        <v>165</v>
      </c>
      <c r="K21" s="76" t="s">
        <v>107</v>
      </c>
      <c r="L21" s="76" t="s">
        <v>108</v>
      </c>
      <c r="M21" s="76" t="s">
        <v>104</v>
      </c>
    </row>
    <row r="22" spans="1:13">
      <c r="A22" s="76" t="s">
        <v>97</v>
      </c>
      <c r="B22" s="76" t="s">
        <v>98</v>
      </c>
      <c r="C22" s="76" t="s">
        <v>99</v>
      </c>
      <c r="D22" s="76" t="s">
        <v>100</v>
      </c>
      <c r="E22" s="76" t="s">
        <v>166</v>
      </c>
      <c r="F22" s="76" t="s">
        <v>167</v>
      </c>
      <c r="G22" s="76" t="s">
        <v>103</v>
      </c>
      <c r="H22" s="76" t="s">
        <v>104</v>
      </c>
      <c r="I22" s="76" t="s">
        <v>105</v>
      </c>
      <c r="J22" s="76" t="s">
        <v>168</v>
      </c>
      <c r="K22" s="76" t="s">
        <v>107</v>
      </c>
      <c r="L22" s="76" t="s">
        <v>108</v>
      </c>
      <c r="M22" s="76" t="s">
        <v>104</v>
      </c>
    </row>
    <row r="23" spans="1:13">
      <c r="A23" s="76" t="s">
        <v>97</v>
      </c>
      <c r="B23" s="76" t="s">
        <v>98</v>
      </c>
      <c r="C23" s="76" t="s">
        <v>99</v>
      </c>
      <c r="D23" s="76" t="s">
        <v>100</v>
      </c>
      <c r="E23" s="76" t="s">
        <v>169</v>
      </c>
      <c r="F23" s="76" t="s">
        <v>170</v>
      </c>
      <c r="G23" s="76" t="s">
        <v>103</v>
      </c>
      <c r="H23" s="76" t="s">
        <v>104</v>
      </c>
      <c r="I23" s="76" t="s">
        <v>105</v>
      </c>
      <c r="J23" s="76" t="s">
        <v>171</v>
      </c>
      <c r="K23" s="76" t="s">
        <v>107</v>
      </c>
      <c r="L23" s="76" t="s">
        <v>108</v>
      </c>
      <c r="M23" s="76" t="s">
        <v>104</v>
      </c>
    </row>
    <row r="24" spans="1:13">
      <c r="A24" s="76" t="s">
        <v>97</v>
      </c>
      <c r="B24" s="76" t="s">
        <v>98</v>
      </c>
      <c r="C24" s="76" t="s">
        <v>99</v>
      </c>
      <c r="D24" s="76" t="s">
        <v>100</v>
      </c>
      <c r="E24" s="76" t="s">
        <v>172</v>
      </c>
      <c r="F24" s="76" t="s">
        <v>173</v>
      </c>
      <c r="G24" s="76" t="s">
        <v>103</v>
      </c>
      <c r="H24" s="76" t="s">
        <v>104</v>
      </c>
      <c r="I24" s="76" t="s">
        <v>105</v>
      </c>
      <c r="J24" s="76" t="s">
        <v>174</v>
      </c>
      <c r="K24" s="76" t="s">
        <v>107</v>
      </c>
      <c r="L24" s="76" t="s">
        <v>108</v>
      </c>
      <c r="M24" s="76" t="s">
        <v>104</v>
      </c>
    </row>
    <row r="25" spans="1:13">
      <c r="A25" s="76" t="s">
        <v>97</v>
      </c>
      <c r="B25" s="76" t="s">
        <v>98</v>
      </c>
      <c r="C25" s="76" t="s">
        <v>99</v>
      </c>
      <c r="D25" s="76" t="s">
        <v>100</v>
      </c>
      <c r="E25" s="76" t="s">
        <v>175</v>
      </c>
      <c r="F25" s="76" t="s">
        <v>176</v>
      </c>
      <c r="G25" s="76" t="s">
        <v>103</v>
      </c>
      <c r="H25" s="76" t="s">
        <v>104</v>
      </c>
      <c r="I25" s="76" t="s">
        <v>105</v>
      </c>
      <c r="J25" s="76" t="s">
        <v>177</v>
      </c>
      <c r="K25" s="76" t="s">
        <v>107</v>
      </c>
      <c r="L25" s="76" t="s">
        <v>108</v>
      </c>
      <c r="M25" s="76" t="s">
        <v>104</v>
      </c>
    </row>
    <row r="26" spans="1:13">
      <c r="A26" s="76" t="s">
        <v>97</v>
      </c>
      <c r="B26" s="76" t="s">
        <v>98</v>
      </c>
      <c r="C26" s="76" t="s">
        <v>99</v>
      </c>
      <c r="D26" s="76" t="s">
        <v>100</v>
      </c>
      <c r="E26" s="76" t="s">
        <v>178</v>
      </c>
      <c r="F26" s="76" t="s">
        <v>179</v>
      </c>
      <c r="G26" s="76" t="s">
        <v>103</v>
      </c>
      <c r="H26" s="76" t="s">
        <v>104</v>
      </c>
      <c r="I26" s="76" t="s">
        <v>105</v>
      </c>
      <c r="J26" s="76" t="s">
        <v>180</v>
      </c>
      <c r="K26" s="76" t="s">
        <v>107</v>
      </c>
      <c r="L26" s="76" t="s">
        <v>108</v>
      </c>
      <c r="M26" s="76" t="s">
        <v>104</v>
      </c>
    </row>
    <row r="27" spans="1:13">
      <c r="A27" s="76" t="s">
        <v>97</v>
      </c>
      <c r="B27" s="76" t="s">
        <v>98</v>
      </c>
      <c r="C27" s="76" t="s">
        <v>99</v>
      </c>
      <c r="D27" s="76" t="s">
        <v>100</v>
      </c>
      <c r="E27" s="76" t="s">
        <v>181</v>
      </c>
      <c r="F27" s="76" t="s">
        <v>182</v>
      </c>
      <c r="G27" s="76" t="s">
        <v>103</v>
      </c>
      <c r="H27" s="76" t="s">
        <v>104</v>
      </c>
      <c r="I27" s="76" t="s">
        <v>105</v>
      </c>
      <c r="J27" s="76" t="s">
        <v>183</v>
      </c>
      <c r="K27" s="76" t="s">
        <v>107</v>
      </c>
      <c r="L27" s="76" t="s">
        <v>108</v>
      </c>
      <c r="M27" s="76" t="s">
        <v>104</v>
      </c>
    </row>
    <row r="28" spans="1:13">
      <c r="A28" s="76" t="s">
        <v>97</v>
      </c>
      <c r="B28" s="76" t="s">
        <v>98</v>
      </c>
      <c r="C28" s="76" t="s">
        <v>99</v>
      </c>
      <c r="D28" s="76" t="s">
        <v>100</v>
      </c>
      <c r="E28" s="76" t="s">
        <v>184</v>
      </c>
      <c r="F28" s="76" t="s">
        <v>185</v>
      </c>
      <c r="G28" s="76" t="s">
        <v>103</v>
      </c>
      <c r="H28" s="76" t="s">
        <v>104</v>
      </c>
      <c r="I28" s="76" t="s">
        <v>105</v>
      </c>
      <c r="J28" s="76" t="s">
        <v>186</v>
      </c>
      <c r="K28" s="76" t="s">
        <v>107</v>
      </c>
      <c r="L28" s="76" t="s">
        <v>108</v>
      </c>
      <c r="M28" s="76" t="s">
        <v>104</v>
      </c>
    </row>
    <row r="29" spans="1:13">
      <c r="A29" s="76" t="s">
        <v>97</v>
      </c>
      <c r="B29" s="76" t="s">
        <v>98</v>
      </c>
      <c r="C29" s="76" t="s">
        <v>99</v>
      </c>
      <c r="D29" s="76" t="s">
        <v>100</v>
      </c>
      <c r="E29" s="76" t="s">
        <v>187</v>
      </c>
      <c r="F29" s="76" t="s">
        <v>188</v>
      </c>
      <c r="G29" s="76" t="s">
        <v>104</v>
      </c>
      <c r="H29" s="76" t="s">
        <v>104</v>
      </c>
      <c r="I29" s="76" t="s">
        <v>105</v>
      </c>
      <c r="J29" s="76" t="s">
        <v>189</v>
      </c>
      <c r="K29" s="76" t="s">
        <v>107</v>
      </c>
      <c r="L29" s="76" t="s">
        <v>108</v>
      </c>
      <c r="M29" s="76" t="s">
        <v>104</v>
      </c>
    </row>
    <row r="30" spans="1:13">
      <c r="A30" s="76" t="s">
        <v>97</v>
      </c>
      <c r="B30" s="76" t="s">
        <v>98</v>
      </c>
      <c r="C30" s="76" t="s">
        <v>99</v>
      </c>
      <c r="D30" s="76" t="s">
        <v>100</v>
      </c>
      <c r="E30" s="76" t="s">
        <v>190</v>
      </c>
      <c r="F30" s="76" t="s">
        <v>191</v>
      </c>
      <c r="G30" s="76" t="s">
        <v>104</v>
      </c>
      <c r="H30" s="76" t="s">
        <v>104</v>
      </c>
      <c r="I30" s="76" t="s">
        <v>105</v>
      </c>
      <c r="J30" s="76" t="s">
        <v>192</v>
      </c>
      <c r="K30" s="76" t="s">
        <v>107</v>
      </c>
      <c r="L30" s="76" t="s">
        <v>108</v>
      </c>
      <c r="M30" s="76" t="s">
        <v>104</v>
      </c>
    </row>
    <row r="31" spans="1:13">
      <c r="A31" s="76" t="s">
        <v>97</v>
      </c>
      <c r="B31" s="76" t="s">
        <v>98</v>
      </c>
      <c r="C31" s="76" t="s">
        <v>99</v>
      </c>
      <c r="D31" s="76" t="s">
        <v>100</v>
      </c>
      <c r="E31" s="76" t="s">
        <v>193</v>
      </c>
      <c r="F31" s="76" t="s">
        <v>194</v>
      </c>
      <c r="G31" s="76" t="s">
        <v>104</v>
      </c>
      <c r="H31" s="76" t="s">
        <v>104</v>
      </c>
      <c r="I31" s="76" t="s">
        <v>105</v>
      </c>
      <c r="J31" s="76" t="s">
        <v>195</v>
      </c>
      <c r="K31" s="76" t="s">
        <v>107</v>
      </c>
      <c r="L31" s="76" t="s">
        <v>108</v>
      </c>
      <c r="M31" s="76" t="s">
        <v>104</v>
      </c>
    </row>
  </sheetData>
  <sortState ref="A2:Q31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C27" sqref="C27:AA2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7" t="s">
        <v>29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6"/>
      <c r="Y5" s="108"/>
      <c r="Z5" s="109"/>
      <c r="AA5" s="109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4"/>
      <c r="Y6" s="115"/>
      <c r="Z6" s="115"/>
      <c r="AA6" s="115"/>
      <c r="AB6" s="115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0" t="s">
        <v>30</v>
      </c>
      <c r="W7" s="90"/>
      <c r="X7" s="121" t="str">
        <f>Data1!D2</f>
        <v>2022/07/06</v>
      </c>
      <c r="Y7" s="122"/>
      <c r="Z7" s="122"/>
      <c r="AA7" s="93"/>
      <c r="AB7" s="87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1" t="s">
        <v>31</v>
      </c>
      <c r="W8" s="91"/>
      <c r="X8" s="123" t="str">
        <f>Data1!A2</f>
        <v>TPC-TC(C0)-CD-22-0610</v>
      </c>
      <c r="Y8" s="115"/>
      <c r="Z8" s="115"/>
      <c r="AA8" s="94"/>
      <c r="AB8" s="94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8" t="s">
        <v>82</v>
      </c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87"/>
      <c r="AB16" s="87"/>
    </row>
    <row r="17" spans="1:28" s="35" customFormat="1" ht="47.25" customHeight="1">
      <c r="A17" s="120" t="s">
        <v>37</v>
      </c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88"/>
      <c r="AB17" s="88"/>
    </row>
    <row r="18" spans="1:28" s="35" customFormat="1" ht="82.5" customHeight="1">
      <c r="A18" s="69" t="s">
        <v>38</v>
      </c>
      <c r="B18" s="116" t="str">
        <f>Data1!I2</f>
        <v>電纜涵洞(CBT-5001) - 廠區內 - 結構圖_RA,RB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1" t="s">
        <v>197</v>
      </c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</row>
    <row r="23" spans="1:28" s="35" customFormat="1" ht="39.75" customHeight="1">
      <c r="A23" s="111" t="s">
        <v>58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</row>
    <row r="24" spans="1:28" s="35" customFormat="1" ht="39.75" customHeight="1">
      <c r="A24" s="41"/>
      <c r="B24" s="45" t="s">
        <v>80</v>
      </c>
      <c r="C24" s="113" t="s">
        <v>59</v>
      </c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</row>
    <row r="25" spans="1:28" s="35" customFormat="1" ht="39.75" customHeight="1">
      <c r="A25" s="41"/>
      <c r="B25" s="45" t="s">
        <v>41</v>
      </c>
      <c r="C25" s="105" t="s">
        <v>42</v>
      </c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3" t="s">
        <v>43</v>
      </c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3"/>
      <c r="B29" s="103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41"/>
      <c r="Y29" s="42"/>
      <c r="Z29" s="42"/>
      <c r="AA29" s="43"/>
      <c r="AB29" s="42"/>
    </row>
    <row r="30" spans="1:28" s="35" customFormat="1" ht="33.950000000000003" customHeight="1">
      <c r="A30" s="124" t="s">
        <v>75</v>
      </c>
      <c r="B30" s="125"/>
      <c r="C30" s="125"/>
      <c r="D30" s="125"/>
      <c r="E30" s="125"/>
      <c r="F30" s="126"/>
      <c r="G30" s="126"/>
      <c r="H30" s="126"/>
      <c r="I30" s="126"/>
      <c r="J30" s="126"/>
      <c r="K30" s="126"/>
      <c r="L30" s="126"/>
      <c r="M30" s="126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6"/>
      <c r="AB30" s="126"/>
    </row>
    <row r="31" spans="1:28" s="35" customFormat="1" ht="39.75" customHeight="1">
      <c r="A31" s="127" t="s">
        <v>45</v>
      </c>
      <c r="B31" s="128"/>
      <c r="C31" s="128"/>
      <c r="D31" s="128"/>
      <c r="E31" s="128"/>
      <c r="F31" s="129"/>
      <c r="G31" s="47" t="s">
        <v>46</v>
      </c>
      <c r="H31" s="130" t="s">
        <v>47</v>
      </c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2"/>
      <c r="W31" s="48" t="s">
        <v>48</v>
      </c>
      <c r="X31" s="130" t="s">
        <v>49</v>
      </c>
      <c r="Y31" s="133"/>
      <c r="Z31" s="134"/>
    </row>
    <row r="32" spans="1:28" s="35" customFormat="1" ht="39.75" customHeight="1">
      <c r="A32" s="135"/>
      <c r="B32" s="136"/>
      <c r="C32" s="136"/>
      <c r="D32" s="136"/>
      <c r="E32" s="136"/>
      <c r="F32" s="137"/>
      <c r="G32" s="49"/>
      <c r="H32" s="138" t="s">
        <v>57</v>
      </c>
      <c r="I32" s="139"/>
      <c r="J32" s="139"/>
      <c r="K32" s="139"/>
      <c r="L32" s="139"/>
      <c r="M32" s="139"/>
      <c r="N32" s="140"/>
      <c r="O32" s="140"/>
      <c r="P32" s="140"/>
      <c r="Q32" s="140"/>
      <c r="R32" s="140"/>
      <c r="S32" s="140"/>
      <c r="T32" s="140"/>
      <c r="U32" s="140"/>
      <c r="V32" s="141"/>
      <c r="W32" s="50"/>
      <c r="X32" s="138"/>
      <c r="Y32" s="140"/>
      <c r="Z32" s="141"/>
    </row>
    <row r="33" spans="1:28" s="35" customFormat="1" ht="39.75" customHeight="1">
      <c r="A33" s="135"/>
      <c r="B33" s="136"/>
      <c r="C33" s="136"/>
      <c r="D33" s="136"/>
      <c r="E33" s="136"/>
      <c r="F33" s="137"/>
      <c r="G33" s="49"/>
      <c r="H33" s="138"/>
      <c r="I33" s="139"/>
      <c r="J33" s="139"/>
      <c r="K33" s="139"/>
      <c r="L33" s="139"/>
      <c r="M33" s="139"/>
      <c r="N33" s="140"/>
      <c r="O33" s="140"/>
      <c r="P33" s="140"/>
      <c r="Q33" s="140"/>
      <c r="R33" s="140"/>
      <c r="S33" s="140"/>
      <c r="T33" s="140"/>
      <c r="U33" s="140"/>
      <c r="V33" s="141"/>
      <c r="W33" s="50"/>
      <c r="X33" s="138"/>
      <c r="Y33" s="140"/>
      <c r="Z33" s="141"/>
    </row>
    <row r="34" spans="1:28" s="35" customFormat="1" ht="39.75" customHeight="1">
      <c r="A34" s="135"/>
      <c r="B34" s="136"/>
      <c r="C34" s="136"/>
      <c r="D34" s="136"/>
      <c r="E34" s="136"/>
      <c r="F34" s="137"/>
      <c r="G34" s="49"/>
      <c r="H34" s="138"/>
      <c r="I34" s="139"/>
      <c r="J34" s="139"/>
      <c r="K34" s="139"/>
      <c r="L34" s="139"/>
      <c r="M34" s="139"/>
      <c r="N34" s="140"/>
      <c r="O34" s="140"/>
      <c r="P34" s="140"/>
      <c r="Q34" s="140"/>
      <c r="R34" s="140"/>
      <c r="S34" s="140"/>
      <c r="T34" s="140"/>
      <c r="U34" s="140"/>
      <c r="V34" s="141"/>
      <c r="W34" s="50"/>
      <c r="X34" s="138"/>
      <c r="Y34" s="140"/>
      <c r="Z34" s="141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83</v>
      </c>
      <c r="B36" s="52"/>
      <c r="C36" s="52"/>
      <c r="D36" s="97" t="str">
        <f>Data1!K2</f>
        <v>陳博仁  Ext.:23341</v>
      </c>
      <c r="E36" s="52"/>
      <c r="F36" s="52"/>
      <c r="G36" s="52"/>
      <c r="H36" s="99" t="str">
        <f>Data1!L2</f>
        <v>CB-0300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4" t="s">
        <v>54</v>
      </c>
      <c r="W36" s="119"/>
      <c r="X36" s="119"/>
      <c r="Y36" s="119"/>
      <c r="Z36" s="119"/>
      <c r="AA36" s="85"/>
      <c r="AB36" s="51"/>
    </row>
    <row r="37" spans="1:28" s="35" customFormat="1" ht="33.950000000000003" customHeight="1">
      <c r="A37" s="143"/>
      <c r="B37" s="106"/>
      <c r="C37" s="106"/>
      <c r="D37" s="106"/>
      <c r="E37" s="106"/>
      <c r="F37" s="106"/>
      <c r="G37" s="39"/>
      <c r="H37" s="143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3"/>
      <c r="B38" s="106"/>
      <c r="C38" s="106"/>
      <c r="D38" s="106"/>
      <c r="E38" s="106"/>
      <c r="F38" s="106"/>
      <c r="G38" s="39"/>
      <c r="H38" s="143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3"/>
      <c r="B40" s="106"/>
      <c r="C40" s="106"/>
      <c r="D40" s="106"/>
      <c r="E40" s="106"/>
      <c r="F40" s="106"/>
      <c r="G40" s="39"/>
      <c r="H40" s="143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3"/>
      <c r="B41" s="106"/>
      <c r="C41" s="106"/>
      <c r="D41" s="106"/>
      <c r="E41" s="106"/>
      <c r="F41" s="106"/>
      <c r="G41" s="39"/>
      <c r="H41" s="82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4"/>
      <c r="W41" s="74"/>
      <c r="X41" s="74"/>
      <c r="Y41" s="75"/>
      <c r="Z41" s="75"/>
      <c r="AA41" s="80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4" t="s">
        <v>55</v>
      </c>
      <c r="W42" s="115"/>
      <c r="X42" s="115"/>
      <c r="Y42" s="115"/>
      <c r="Z42" s="115"/>
      <c r="AA42" s="81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4" t="s">
        <v>0</v>
      </c>
      <c r="W43" s="145"/>
      <c r="X43" s="145"/>
      <c r="Y43" s="145"/>
      <c r="Z43" s="145"/>
      <c r="AA43" s="81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2" t="s">
        <v>196</v>
      </c>
      <c r="B45" s="142"/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</row>
    <row r="46" spans="1:28" s="35" customFormat="1" ht="41.25" customHeight="1">
      <c r="A46" s="149" t="s">
        <v>81</v>
      </c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</row>
    <row r="47" spans="1:28" s="35" customFormat="1" ht="41.25" customHeight="1">
      <c r="A47" s="57"/>
      <c r="B47" s="58" t="s">
        <v>80</v>
      </c>
      <c r="C47" s="57" t="s">
        <v>86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49" t="s">
        <v>61</v>
      </c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</row>
    <row r="49" spans="1:28" s="35" customFormat="1" ht="41.25" customHeight="1">
      <c r="A49" s="57"/>
      <c r="B49" s="58"/>
      <c r="C49" s="61"/>
      <c r="D49" s="149" t="s">
        <v>62</v>
      </c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</row>
    <row r="50" spans="1:28" s="35" customFormat="1" ht="41.25" customHeight="1">
      <c r="A50" s="57"/>
      <c r="B50" s="58"/>
      <c r="C50" s="58" t="s">
        <v>56</v>
      </c>
      <c r="D50" s="150" t="s">
        <v>51</v>
      </c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</row>
    <row r="51" spans="1:28" s="35" customFormat="1" ht="41.25" customHeight="1">
      <c r="A51" s="54"/>
      <c r="B51" s="62" t="s">
        <v>80</v>
      </c>
      <c r="C51" s="54" t="s">
        <v>87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49" t="s">
        <v>63</v>
      </c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</row>
    <row r="53" spans="1:28" s="35" customFormat="1" ht="41.25" customHeight="1">
      <c r="A53" s="57"/>
      <c r="B53" s="58"/>
      <c r="C53" s="64"/>
      <c r="D53" s="149" t="s">
        <v>62</v>
      </c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</row>
    <row r="54" spans="1:28" s="35" customFormat="1" ht="41.25" customHeight="1">
      <c r="A54" s="57"/>
      <c r="B54" s="63" t="s">
        <v>80</v>
      </c>
      <c r="C54" s="57" t="s">
        <v>84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6" t="s">
        <v>64</v>
      </c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</row>
    <row r="56" spans="1:28" s="35" customFormat="1" ht="41.25" customHeight="1">
      <c r="A56" s="57"/>
      <c r="B56" s="58"/>
      <c r="C56" s="64"/>
      <c r="D56" s="149" t="s">
        <v>62</v>
      </c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8" t="s">
        <v>72</v>
      </c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</row>
    <row r="59" spans="1:28" s="35" customFormat="1" ht="41.25" customHeight="1">
      <c r="A59" s="57"/>
      <c r="B59" s="58"/>
      <c r="C59" s="64"/>
      <c r="D59" s="149" t="s">
        <v>65</v>
      </c>
      <c r="E59" s="150"/>
      <c r="F59" s="150"/>
      <c r="G59" s="150"/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</row>
    <row r="60" spans="1:28" s="35" customFormat="1" ht="41.25" customHeight="1">
      <c r="A60" s="57"/>
      <c r="B60" s="63" t="s">
        <v>56</v>
      </c>
      <c r="C60" s="98" t="s">
        <v>90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49" t="s">
        <v>66</v>
      </c>
      <c r="E61" s="150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150"/>
    </row>
    <row r="62" spans="1:28" s="35" customFormat="1" ht="41.25" customHeight="1">
      <c r="A62" s="57"/>
      <c r="B62" s="58"/>
      <c r="C62" s="64"/>
      <c r="D62" s="149" t="s">
        <v>67</v>
      </c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49" t="s">
        <v>88</v>
      </c>
      <c r="D64" s="149"/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51"/>
      <c r="V64" s="151"/>
      <c r="W64" s="151"/>
      <c r="X64" s="151"/>
      <c r="Y64" s="152"/>
      <c r="Z64" s="152"/>
      <c r="AA64" s="152"/>
      <c r="AB64" s="59"/>
    </row>
    <row r="65" spans="1:28" s="35" customFormat="1" ht="41.25" customHeight="1">
      <c r="A65" s="57"/>
      <c r="B65" s="67"/>
      <c r="C65" s="149" t="s">
        <v>69</v>
      </c>
      <c r="D65" s="149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59"/>
    </row>
    <row r="66" spans="1:28" s="35" customFormat="1" ht="41.25" customHeight="1">
      <c r="A66" s="57"/>
      <c r="B66" s="68" t="s">
        <v>70</v>
      </c>
      <c r="C66" s="149" t="s">
        <v>89</v>
      </c>
      <c r="D66" s="149"/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149"/>
      <c r="W66" s="149"/>
      <c r="X66" s="149"/>
      <c r="Y66" s="149"/>
      <c r="Z66" s="149"/>
      <c r="AA66" s="149"/>
      <c r="AB66" s="59"/>
    </row>
    <row r="67" spans="1:28" s="35" customFormat="1" ht="41.25" customHeight="1">
      <c r="A67" s="57"/>
      <c r="B67" s="67"/>
      <c r="C67" s="149" t="s">
        <v>73</v>
      </c>
      <c r="D67" s="149"/>
      <c r="E67" s="149"/>
      <c r="F67" s="149"/>
      <c r="G67" s="149"/>
      <c r="H67" s="149"/>
      <c r="I67" s="149"/>
      <c r="J67" s="149"/>
      <c r="K67" s="149"/>
      <c r="L67" s="149"/>
      <c r="M67" s="149"/>
      <c r="N67" s="149"/>
      <c r="O67" s="149"/>
      <c r="P67" s="149"/>
      <c r="Q67" s="149"/>
      <c r="R67" s="149"/>
      <c r="S67" s="149"/>
      <c r="T67" s="149"/>
      <c r="U67" s="149"/>
      <c r="V67" s="149"/>
      <c r="W67" s="149"/>
      <c r="X67" s="149"/>
      <c r="Y67" s="149"/>
      <c r="Z67" s="149"/>
      <c r="AA67" s="149"/>
      <c r="AB67" s="59"/>
    </row>
    <row r="68" spans="1:28" s="35" customFormat="1" ht="41.25" customHeight="1">
      <c r="A68" s="57"/>
      <c r="B68" s="68" t="s">
        <v>70</v>
      </c>
      <c r="C68" s="146" t="s">
        <v>85</v>
      </c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59"/>
    </row>
    <row r="69" spans="1:28" s="35" customFormat="1" ht="41.25" customHeight="1">
      <c r="A69" s="57"/>
      <c r="B69" s="67"/>
      <c r="C69" s="149" t="s">
        <v>74</v>
      </c>
      <c r="D69" s="149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59"/>
    </row>
    <row r="70" spans="1:28" s="35" customFormat="1" ht="60.75" customHeight="1">
      <c r="A70" s="57"/>
      <c r="B70" s="67" t="s">
        <v>41</v>
      </c>
      <c r="C70" s="154" t="s">
        <v>91</v>
      </c>
      <c r="D70" s="149"/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149"/>
      <c r="W70" s="149"/>
      <c r="X70" s="149"/>
      <c r="Y70" s="149"/>
      <c r="Z70" s="149"/>
      <c r="AA70" s="149"/>
      <c r="AB70" s="59"/>
    </row>
    <row r="71" spans="1:28" s="35" customFormat="1" ht="41.25" customHeight="1">
      <c r="A71" s="57"/>
      <c r="B71" s="67"/>
      <c r="C71" s="149" t="s">
        <v>71</v>
      </c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49"/>
      <c r="O71" s="149"/>
      <c r="P71" s="149"/>
      <c r="Q71" s="149"/>
      <c r="R71" s="149"/>
      <c r="S71" s="149"/>
      <c r="T71" s="149"/>
      <c r="U71" s="149"/>
      <c r="V71" s="149"/>
      <c r="W71" s="149"/>
      <c r="X71" s="149"/>
      <c r="Y71" s="149"/>
      <c r="Z71" s="149"/>
      <c r="AA71" s="149"/>
      <c r="AB71" s="59"/>
    </row>
    <row r="72" spans="1:28" ht="33.950000000000003" customHeight="1">
      <c r="A72" s="22"/>
      <c r="B72" s="25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50"/>
  <sheetViews>
    <sheetView tabSelected="1" zoomScale="40" zoomScaleNormal="40" zoomScaleSheetLayoutView="40" zoomScalePageLayoutView="40" workbookViewId="0">
      <selection activeCell="C27" sqref="C27:AA27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0" t="s">
        <v>30</v>
      </c>
      <c r="X4" s="90"/>
      <c r="Y4" s="165" t="str">
        <f>Data1!D2</f>
        <v>2022/07/06</v>
      </c>
      <c r="Z4" s="166"/>
      <c r="AA4" s="166"/>
      <c r="AB4" s="87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1" t="s">
        <v>31</v>
      </c>
      <c r="X5" s="92"/>
      <c r="Y5" s="167" t="str">
        <f>Data1!A2</f>
        <v>TPC-TC(C0)-CD-22-0610</v>
      </c>
      <c r="Z5" s="168"/>
      <c r="AA5" s="168"/>
      <c r="AB5" s="168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9" t="s">
        <v>75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5" customFormat="1" ht="99.95" customHeight="1">
      <c r="A9" s="172" t="s">
        <v>45</v>
      </c>
      <c r="B9" s="173"/>
      <c r="C9" s="173"/>
      <c r="D9" s="173"/>
      <c r="E9" s="173"/>
      <c r="F9" s="174"/>
      <c r="G9" s="95" t="s">
        <v>46</v>
      </c>
      <c r="H9" s="175" t="s">
        <v>47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6" t="s">
        <v>48</v>
      </c>
      <c r="X9" s="175" t="s">
        <v>49</v>
      </c>
      <c r="Y9" s="178"/>
      <c r="Z9" s="179"/>
    </row>
    <row r="10" spans="1:28" s="35" customFormat="1" ht="120" customHeight="1">
      <c r="A10" s="155" t="s">
        <v>106</v>
      </c>
      <c r="B10" s="156"/>
      <c r="C10" s="156"/>
      <c r="D10" s="156"/>
      <c r="E10" s="156"/>
      <c r="F10" s="157"/>
      <c r="G10" s="100" t="s">
        <v>103</v>
      </c>
      <c r="H10" s="158" t="s">
        <v>102</v>
      </c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60"/>
      <c r="W10" s="101" t="s">
        <v>104</v>
      </c>
      <c r="X10" s="158" t="s">
        <v>101</v>
      </c>
      <c r="Y10" s="159"/>
      <c r="Z10" s="160"/>
      <c r="AA10" s="102"/>
      <c r="AB10" s="102"/>
    </row>
    <row r="11" spans="1:28" s="35" customFormat="1" ht="120" customHeight="1">
      <c r="A11" s="155" t="s">
        <v>111</v>
      </c>
      <c r="B11" s="156"/>
      <c r="C11" s="156"/>
      <c r="D11" s="156"/>
      <c r="E11" s="156"/>
      <c r="F11" s="157"/>
      <c r="G11" s="100" t="s">
        <v>103</v>
      </c>
      <c r="H11" s="158" t="s">
        <v>110</v>
      </c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60"/>
      <c r="W11" s="101" t="s">
        <v>104</v>
      </c>
      <c r="X11" s="158" t="s">
        <v>109</v>
      </c>
      <c r="Y11" s="159"/>
      <c r="Z11" s="160"/>
      <c r="AA11" s="102"/>
      <c r="AB11" s="102"/>
    </row>
    <row r="12" spans="1:28" s="35" customFormat="1" ht="120" customHeight="1">
      <c r="A12" s="155" t="s">
        <v>114</v>
      </c>
      <c r="B12" s="156"/>
      <c r="C12" s="156"/>
      <c r="D12" s="156"/>
      <c r="E12" s="156"/>
      <c r="F12" s="157"/>
      <c r="G12" s="100" t="s">
        <v>103</v>
      </c>
      <c r="H12" s="158" t="s">
        <v>113</v>
      </c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60"/>
      <c r="W12" s="101" t="s">
        <v>104</v>
      </c>
      <c r="X12" s="158" t="s">
        <v>112</v>
      </c>
      <c r="Y12" s="159"/>
      <c r="Z12" s="160"/>
      <c r="AA12" s="102"/>
      <c r="AB12" s="102"/>
    </row>
    <row r="13" spans="1:28" s="35" customFormat="1" ht="120" customHeight="1">
      <c r="A13" s="155" t="s">
        <v>117</v>
      </c>
      <c r="B13" s="156"/>
      <c r="C13" s="156"/>
      <c r="D13" s="156"/>
      <c r="E13" s="156"/>
      <c r="F13" s="157"/>
      <c r="G13" s="100" t="s">
        <v>103</v>
      </c>
      <c r="H13" s="158" t="s">
        <v>116</v>
      </c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60"/>
      <c r="W13" s="101" t="s">
        <v>104</v>
      </c>
      <c r="X13" s="158" t="s">
        <v>115</v>
      </c>
      <c r="Y13" s="159"/>
      <c r="Z13" s="160"/>
      <c r="AA13" s="102"/>
      <c r="AB13" s="102"/>
    </row>
    <row r="14" spans="1:28" s="35" customFormat="1" ht="120" customHeight="1">
      <c r="A14" s="155" t="s">
        <v>120</v>
      </c>
      <c r="B14" s="156"/>
      <c r="C14" s="156"/>
      <c r="D14" s="156"/>
      <c r="E14" s="156"/>
      <c r="F14" s="157"/>
      <c r="G14" s="100" t="s">
        <v>103</v>
      </c>
      <c r="H14" s="158" t="s">
        <v>119</v>
      </c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60"/>
      <c r="W14" s="101" t="s">
        <v>104</v>
      </c>
      <c r="X14" s="158" t="s">
        <v>118</v>
      </c>
      <c r="Y14" s="159"/>
      <c r="Z14" s="160"/>
      <c r="AA14" s="102"/>
      <c r="AB14" s="102"/>
    </row>
    <row r="15" spans="1:28" s="35" customFormat="1" ht="120" customHeight="1">
      <c r="A15" s="155" t="s">
        <v>123</v>
      </c>
      <c r="B15" s="156"/>
      <c r="C15" s="156"/>
      <c r="D15" s="156"/>
      <c r="E15" s="156"/>
      <c r="F15" s="157"/>
      <c r="G15" s="100" t="s">
        <v>103</v>
      </c>
      <c r="H15" s="158" t="s">
        <v>122</v>
      </c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60"/>
      <c r="W15" s="101" t="s">
        <v>104</v>
      </c>
      <c r="X15" s="158" t="s">
        <v>121</v>
      </c>
      <c r="Y15" s="159"/>
      <c r="Z15" s="160"/>
      <c r="AA15" s="102"/>
      <c r="AB15" s="102"/>
    </row>
    <row r="16" spans="1:28" s="35" customFormat="1" ht="120" customHeight="1">
      <c r="A16" s="155" t="s">
        <v>126</v>
      </c>
      <c r="B16" s="156"/>
      <c r="C16" s="156"/>
      <c r="D16" s="156"/>
      <c r="E16" s="156"/>
      <c r="F16" s="157"/>
      <c r="G16" s="100" t="s">
        <v>103</v>
      </c>
      <c r="H16" s="158" t="s">
        <v>125</v>
      </c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60"/>
      <c r="W16" s="101" t="s">
        <v>104</v>
      </c>
      <c r="X16" s="158" t="s">
        <v>124</v>
      </c>
      <c r="Y16" s="159"/>
      <c r="Z16" s="160"/>
      <c r="AA16" s="102"/>
      <c r="AB16" s="102"/>
    </row>
    <row r="17" spans="1:28" s="35" customFormat="1" ht="120" customHeight="1">
      <c r="A17" s="155" t="s">
        <v>129</v>
      </c>
      <c r="B17" s="156"/>
      <c r="C17" s="156"/>
      <c r="D17" s="156"/>
      <c r="E17" s="156"/>
      <c r="F17" s="157"/>
      <c r="G17" s="100" t="s">
        <v>103</v>
      </c>
      <c r="H17" s="158" t="s">
        <v>128</v>
      </c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60"/>
      <c r="W17" s="101" t="s">
        <v>104</v>
      </c>
      <c r="X17" s="158" t="s">
        <v>127</v>
      </c>
      <c r="Y17" s="159"/>
      <c r="Z17" s="160"/>
      <c r="AA17" s="102"/>
      <c r="AB17" s="102"/>
    </row>
    <row r="18" spans="1:28" s="35" customFormat="1" ht="120" customHeight="1">
      <c r="A18" s="155" t="s">
        <v>132</v>
      </c>
      <c r="B18" s="156"/>
      <c r="C18" s="156"/>
      <c r="D18" s="156"/>
      <c r="E18" s="156"/>
      <c r="F18" s="157"/>
      <c r="G18" s="100" t="s">
        <v>103</v>
      </c>
      <c r="H18" s="158" t="s">
        <v>131</v>
      </c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60"/>
      <c r="W18" s="101" t="s">
        <v>104</v>
      </c>
      <c r="X18" s="158" t="s">
        <v>130</v>
      </c>
      <c r="Y18" s="159"/>
      <c r="Z18" s="160"/>
      <c r="AA18" s="102"/>
      <c r="AB18" s="102"/>
    </row>
    <row r="19" spans="1:28" s="35" customFormat="1" ht="120" customHeight="1">
      <c r="A19" s="155" t="s">
        <v>135</v>
      </c>
      <c r="B19" s="156"/>
      <c r="C19" s="156"/>
      <c r="D19" s="156"/>
      <c r="E19" s="156"/>
      <c r="F19" s="157"/>
      <c r="G19" s="100" t="s">
        <v>103</v>
      </c>
      <c r="H19" s="158" t="s">
        <v>134</v>
      </c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60"/>
      <c r="W19" s="101" t="s">
        <v>104</v>
      </c>
      <c r="X19" s="158" t="s">
        <v>133</v>
      </c>
      <c r="Y19" s="159"/>
      <c r="Z19" s="160"/>
      <c r="AA19" s="102"/>
      <c r="AB19" s="102"/>
    </row>
    <row r="20" spans="1:28" s="35" customFormat="1" ht="120" customHeight="1">
      <c r="A20" s="155" t="s">
        <v>138</v>
      </c>
      <c r="B20" s="156"/>
      <c r="C20" s="156"/>
      <c r="D20" s="156"/>
      <c r="E20" s="156"/>
      <c r="F20" s="157"/>
      <c r="G20" s="100" t="s">
        <v>103</v>
      </c>
      <c r="H20" s="158" t="s">
        <v>137</v>
      </c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60"/>
      <c r="W20" s="101" t="s">
        <v>104</v>
      </c>
      <c r="X20" s="158" t="s">
        <v>136</v>
      </c>
      <c r="Y20" s="159"/>
      <c r="Z20" s="160"/>
      <c r="AA20" s="102"/>
      <c r="AB20" s="102"/>
    </row>
    <row r="21" spans="1:28" s="35" customFormat="1" ht="120" customHeight="1">
      <c r="A21" s="155" t="s">
        <v>141</v>
      </c>
      <c r="B21" s="156"/>
      <c r="C21" s="156"/>
      <c r="D21" s="156"/>
      <c r="E21" s="156"/>
      <c r="F21" s="157"/>
      <c r="G21" s="100" t="s">
        <v>103</v>
      </c>
      <c r="H21" s="158" t="s">
        <v>140</v>
      </c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60"/>
      <c r="W21" s="101" t="s">
        <v>104</v>
      </c>
      <c r="X21" s="158" t="s">
        <v>139</v>
      </c>
      <c r="Y21" s="159"/>
      <c r="Z21" s="160"/>
      <c r="AA21" s="102"/>
      <c r="AB21" s="102"/>
    </row>
    <row r="22" spans="1:28" s="35" customFormat="1" ht="120" customHeight="1">
      <c r="A22" s="155" t="s">
        <v>144</v>
      </c>
      <c r="B22" s="156"/>
      <c r="C22" s="156"/>
      <c r="D22" s="156"/>
      <c r="E22" s="156"/>
      <c r="F22" s="157"/>
      <c r="G22" s="100" t="s">
        <v>103</v>
      </c>
      <c r="H22" s="158" t="s">
        <v>143</v>
      </c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60"/>
      <c r="W22" s="101" t="s">
        <v>104</v>
      </c>
      <c r="X22" s="158" t="s">
        <v>142</v>
      </c>
      <c r="Y22" s="159"/>
      <c r="Z22" s="160"/>
      <c r="AA22" s="102"/>
      <c r="AB22" s="102"/>
    </row>
    <row r="23" spans="1:28" s="35" customFormat="1" ht="120" customHeight="1">
      <c r="A23" s="155" t="s">
        <v>147</v>
      </c>
      <c r="B23" s="156"/>
      <c r="C23" s="156"/>
      <c r="D23" s="156"/>
      <c r="E23" s="156"/>
      <c r="F23" s="157"/>
      <c r="G23" s="100" t="s">
        <v>103</v>
      </c>
      <c r="H23" s="158" t="s">
        <v>146</v>
      </c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60"/>
      <c r="W23" s="101" t="s">
        <v>104</v>
      </c>
      <c r="X23" s="158" t="s">
        <v>145</v>
      </c>
      <c r="Y23" s="159"/>
      <c r="Z23" s="160"/>
      <c r="AA23" s="102"/>
      <c r="AB23" s="102"/>
    </row>
    <row r="24" spans="1:28" s="35" customFormat="1" ht="120" customHeight="1">
      <c r="A24" s="155" t="s">
        <v>150</v>
      </c>
      <c r="B24" s="156"/>
      <c r="C24" s="156"/>
      <c r="D24" s="156"/>
      <c r="E24" s="156"/>
      <c r="F24" s="157"/>
      <c r="G24" s="100" t="s">
        <v>103</v>
      </c>
      <c r="H24" s="158" t="s">
        <v>149</v>
      </c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60"/>
      <c r="W24" s="101" t="s">
        <v>104</v>
      </c>
      <c r="X24" s="158" t="s">
        <v>148</v>
      </c>
      <c r="Y24" s="159"/>
      <c r="Z24" s="160"/>
      <c r="AA24" s="102"/>
      <c r="AB24" s="102"/>
    </row>
    <row r="25" spans="1:28" s="35" customFormat="1" ht="120" customHeight="1">
      <c r="A25" s="155" t="s">
        <v>153</v>
      </c>
      <c r="B25" s="156"/>
      <c r="C25" s="156"/>
      <c r="D25" s="156"/>
      <c r="E25" s="156"/>
      <c r="F25" s="157"/>
      <c r="G25" s="100" t="s">
        <v>103</v>
      </c>
      <c r="H25" s="158" t="s">
        <v>152</v>
      </c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60"/>
      <c r="W25" s="101" t="s">
        <v>104</v>
      </c>
      <c r="X25" s="158" t="s">
        <v>151</v>
      </c>
      <c r="Y25" s="159"/>
      <c r="Z25" s="160"/>
      <c r="AA25" s="102"/>
      <c r="AB25" s="102"/>
    </row>
    <row r="26" spans="1:28" s="35" customFormat="1" ht="120" customHeight="1">
      <c r="A26" s="155" t="s">
        <v>156</v>
      </c>
      <c r="B26" s="156"/>
      <c r="C26" s="156"/>
      <c r="D26" s="156"/>
      <c r="E26" s="156"/>
      <c r="F26" s="157"/>
      <c r="G26" s="100" t="s">
        <v>103</v>
      </c>
      <c r="H26" s="158" t="s">
        <v>155</v>
      </c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60"/>
      <c r="W26" s="101" t="s">
        <v>104</v>
      </c>
      <c r="X26" s="158" t="s">
        <v>154</v>
      </c>
      <c r="Y26" s="159"/>
      <c r="Z26" s="160"/>
      <c r="AA26" s="102"/>
      <c r="AB26" s="102"/>
    </row>
    <row r="27" spans="1:28" s="35" customFormat="1" ht="120" customHeight="1">
      <c r="A27" s="155" t="s">
        <v>159</v>
      </c>
      <c r="B27" s="156"/>
      <c r="C27" s="156"/>
      <c r="D27" s="156"/>
      <c r="E27" s="156"/>
      <c r="F27" s="157"/>
      <c r="G27" s="100" t="s">
        <v>103</v>
      </c>
      <c r="H27" s="158" t="s">
        <v>158</v>
      </c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60"/>
      <c r="W27" s="101" t="s">
        <v>104</v>
      </c>
      <c r="X27" s="158" t="s">
        <v>157</v>
      </c>
      <c r="Y27" s="159"/>
      <c r="Z27" s="160"/>
      <c r="AA27" s="102"/>
      <c r="AB27" s="102"/>
    </row>
    <row r="28" spans="1:28" s="35" customFormat="1" ht="120" customHeight="1">
      <c r="A28" s="155" t="s">
        <v>162</v>
      </c>
      <c r="B28" s="156"/>
      <c r="C28" s="156"/>
      <c r="D28" s="156"/>
      <c r="E28" s="156"/>
      <c r="F28" s="157"/>
      <c r="G28" s="100" t="s">
        <v>103</v>
      </c>
      <c r="H28" s="158" t="s">
        <v>161</v>
      </c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60"/>
      <c r="W28" s="101" t="s">
        <v>104</v>
      </c>
      <c r="X28" s="158" t="s">
        <v>160</v>
      </c>
      <c r="Y28" s="159"/>
      <c r="Z28" s="160"/>
      <c r="AA28" s="102"/>
      <c r="AB28" s="102"/>
    </row>
    <row r="29" spans="1:28" s="35" customFormat="1" ht="120" customHeight="1">
      <c r="A29" s="155" t="s">
        <v>165</v>
      </c>
      <c r="B29" s="156"/>
      <c r="C29" s="156"/>
      <c r="D29" s="156"/>
      <c r="E29" s="156"/>
      <c r="F29" s="157"/>
      <c r="G29" s="100" t="s">
        <v>103</v>
      </c>
      <c r="H29" s="158" t="s">
        <v>164</v>
      </c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60"/>
      <c r="W29" s="101" t="s">
        <v>104</v>
      </c>
      <c r="X29" s="158" t="s">
        <v>163</v>
      </c>
      <c r="Y29" s="159"/>
      <c r="Z29" s="160"/>
      <c r="AA29" s="102"/>
      <c r="AB29" s="102"/>
    </row>
    <row r="30" spans="1:28" s="35" customFormat="1" ht="120" customHeight="1">
      <c r="A30" s="155" t="s">
        <v>168</v>
      </c>
      <c r="B30" s="156"/>
      <c r="C30" s="156"/>
      <c r="D30" s="156"/>
      <c r="E30" s="156"/>
      <c r="F30" s="157"/>
      <c r="G30" s="100" t="s">
        <v>103</v>
      </c>
      <c r="H30" s="158" t="s">
        <v>167</v>
      </c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60"/>
      <c r="W30" s="101" t="s">
        <v>104</v>
      </c>
      <c r="X30" s="158" t="s">
        <v>166</v>
      </c>
      <c r="Y30" s="159"/>
      <c r="Z30" s="160"/>
      <c r="AA30" s="102"/>
      <c r="AB30" s="102"/>
    </row>
    <row r="31" spans="1:28" s="35" customFormat="1" ht="120" customHeight="1">
      <c r="A31" s="155" t="s">
        <v>171</v>
      </c>
      <c r="B31" s="156"/>
      <c r="C31" s="156"/>
      <c r="D31" s="156"/>
      <c r="E31" s="156"/>
      <c r="F31" s="157"/>
      <c r="G31" s="100" t="s">
        <v>103</v>
      </c>
      <c r="H31" s="158" t="s">
        <v>170</v>
      </c>
      <c r="I31" s="159"/>
      <c r="J31" s="159"/>
      <c r="K31" s="159"/>
      <c r="L31" s="159"/>
      <c r="M31" s="159"/>
      <c r="N31" s="159"/>
      <c r="O31" s="159"/>
      <c r="P31" s="159"/>
      <c r="Q31" s="159"/>
      <c r="R31" s="159"/>
      <c r="S31" s="159"/>
      <c r="T31" s="159"/>
      <c r="U31" s="159"/>
      <c r="V31" s="160"/>
      <c r="W31" s="101" t="s">
        <v>104</v>
      </c>
      <c r="X31" s="158" t="s">
        <v>169</v>
      </c>
      <c r="Y31" s="159"/>
      <c r="Z31" s="160"/>
      <c r="AA31" s="102"/>
      <c r="AB31" s="102"/>
    </row>
    <row r="32" spans="1:28" s="35" customFormat="1" ht="120" customHeight="1">
      <c r="A32" s="155" t="s">
        <v>174</v>
      </c>
      <c r="B32" s="156"/>
      <c r="C32" s="156"/>
      <c r="D32" s="156"/>
      <c r="E32" s="156"/>
      <c r="F32" s="157"/>
      <c r="G32" s="100" t="s">
        <v>103</v>
      </c>
      <c r="H32" s="158" t="s">
        <v>173</v>
      </c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60"/>
      <c r="W32" s="101" t="s">
        <v>104</v>
      </c>
      <c r="X32" s="158" t="s">
        <v>172</v>
      </c>
      <c r="Y32" s="159"/>
      <c r="Z32" s="160"/>
      <c r="AA32" s="102"/>
      <c r="AB32" s="102"/>
    </row>
    <row r="33" spans="1:28" s="35" customFormat="1" ht="120" customHeight="1">
      <c r="A33" s="155" t="s">
        <v>177</v>
      </c>
      <c r="B33" s="156"/>
      <c r="C33" s="156"/>
      <c r="D33" s="156"/>
      <c r="E33" s="156"/>
      <c r="F33" s="157"/>
      <c r="G33" s="100" t="s">
        <v>103</v>
      </c>
      <c r="H33" s="158" t="s">
        <v>176</v>
      </c>
      <c r="I33" s="159"/>
      <c r="J33" s="159"/>
      <c r="K33" s="159"/>
      <c r="L33" s="159"/>
      <c r="M33" s="159"/>
      <c r="N33" s="159"/>
      <c r="O33" s="159"/>
      <c r="P33" s="159"/>
      <c r="Q33" s="159"/>
      <c r="R33" s="159"/>
      <c r="S33" s="159"/>
      <c r="T33" s="159"/>
      <c r="U33" s="159"/>
      <c r="V33" s="160"/>
      <c r="W33" s="101" t="s">
        <v>104</v>
      </c>
      <c r="X33" s="158" t="s">
        <v>175</v>
      </c>
      <c r="Y33" s="159"/>
      <c r="Z33" s="160"/>
      <c r="AA33" s="102"/>
      <c r="AB33" s="102"/>
    </row>
    <row r="34" spans="1:28" s="35" customFormat="1" ht="120" customHeight="1">
      <c r="A34" s="155" t="s">
        <v>180</v>
      </c>
      <c r="B34" s="156"/>
      <c r="C34" s="156"/>
      <c r="D34" s="156"/>
      <c r="E34" s="156"/>
      <c r="F34" s="157"/>
      <c r="G34" s="100" t="s">
        <v>103</v>
      </c>
      <c r="H34" s="158" t="s">
        <v>179</v>
      </c>
      <c r="I34" s="159"/>
      <c r="J34" s="159"/>
      <c r="K34" s="159"/>
      <c r="L34" s="159"/>
      <c r="M34" s="159"/>
      <c r="N34" s="159"/>
      <c r="O34" s="159"/>
      <c r="P34" s="159"/>
      <c r="Q34" s="159"/>
      <c r="R34" s="159"/>
      <c r="S34" s="159"/>
      <c r="T34" s="159"/>
      <c r="U34" s="159"/>
      <c r="V34" s="160"/>
      <c r="W34" s="101" t="s">
        <v>104</v>
      </c>
      <c r="X34" s="158" t="s">
        <v>178</v>
      </c>
      <c r="Y34" s="159"/>
      <c r="Z34" s="160"/>
      <c r="AA34" s="102"/>
      <c r="AB34" s="102"/>
    </row>
    <row r="35" spans="1:28" s="35" customFormat="1" ht="120" customHeight="1">
      <c r="A35" s="155" t="s">
        <v>183</v>
      </c>
      <c r="B35" s="156"/>
      <c r="C35" s="156"/>
      <c r="D35" s="156"/>
      <c r="E35" s="156"/>
      <c r="F35" s="157"/>
      <c r="G35" s="100" t="s">
        <v>103</v>
      </c>
      <c r="H35" s="158" t="s">
        <v>182</v>
      </c>
      <c r="I35" s="159"/>
      <c r="J35" s="159"/>
      <c r="K35" s="159"/>
      <c r="L35" s="159"/>
      <c r="M35" s="159"/>
      <c r="N35" s="159"/>
      <c r="O35" s="159"/>
      <c r="P35" s="159"/>
      <c r="Q35" s="159"/>
      <c r="R35" s="159"/>
      <c r="S35" s="159"/>
      <c r="T35" s="159"/>
      <c r="U35" s="159"/>
      <c r="V35" s="160"/>
      <c r="W35" s="101" t="s">
        <v>104</v>
      </c>
      <c r="X35" s="158" t="s">
        <v>181</v>
      </c>
      <c r="Y35" s="159"/>
      <c r="Z35" s="160"/>
      <c r="AA35" s="102"/>
      <c r="AB35" s="102"/>
    </row>
    <row r="36" spans="1:28" s="35" customFormat="1" ht="120" customHeight="1">
      <c r="A36" s="155" t="s">
        <v>186</v>
      </c>
      <c r="B36" s="156"/>
      <c r="C36" s="156"/>
      <c r="D36" s="156"/>
      <c r="E36" s="156"/>
      <c r="F36" s="157"/>
      <c r="G36" s="100" t="s">
        <v>103</v>
      </c>
      <c r="H36" s="158" t="s">
        <v>185</v>
      </c>
      <c r="I36" s="159"/>
      <c r="J36" s="159"/>
      <c r="K36" s="159"/>
      <c r="L36" s="159"/>
      <c r="M36" s="159"/>
      <c r="N36" s="159"/>
      <c r="O36" s="159"/>
      <c r="P36" s="159"/>
      <c r="Q36" s="159"/>
      <c r="R36" s="159"/>
      <c r="S36" s="159"/>
      <c r="T36" s="159"/>
      <c r="U36" s="159"/>
      <c r="V36" s="160"/>
      <c r="W36" s="101" t="s">
        <v>104</v>
      </c>
      <c r="X36" s="158" t="s">
        <v>184</v>
      </c>
      <c r="Y36" s="159"/>
      <c r="Z36" s="160"/>
      <c r="AA36" s="102"/>
      <c r="AB36" s="102"/>
    </row>
    <row r="37" spans="1:28" s="35" customFormat="1" ht="120" customHeight="1">
      <c r="A37" s="155" t="s">
        <v>189</v>
      </c>
      <c r="B37" s="156"/>
      <c r="C37" s="156"/>
      <c r="D37" s="156"/>
      <c r="E37" s="156"/>
      <c r="F37" s="157"/>
      <c r="G37" s="100" t="s">
        <v>104</v>
      </c>
      <c r="H37" s="158" t="s">
        <v>188</v>
      </c>
      <c r="I37" s="159"/>
      <c r="J37" s="159"/>
      <c r="K37" s="159"/>
      <c r="L37" s="159"/>
      <c r="M37" s="159"/>
      <c r="N37" s="159"/>
      <c r="O37" s="159"/>
      <c r="P37" s="159"/>
      <c r="Q37" s="159"/>
      <c r="R37" s="159"/>
      <c r="S37" s="159"/>
      <c r="T37" s="159"/>
      <c r="U37" s="159"/>
      <c r="V37" s="160"/>
      <c r="W37" s="101" t="s">
        <v>104</v>
      </c>
      <c r="X37" s="158" t="s">
        <v>187</v>
      </c>
      <c r="Y37" s="159"/>
      <c r="Z37" s="160"/>
      <c r="AA37" s="102"/>
      <c r="AB37" s="102"/>
    </row>
    <row r="38" spans="1:28" s="35" customFormat="1" ht="120" customHeight="1">
      <c r="A38" s="155" t="s">
        <v>192</v>
      </c>
      <c r="B38" s="156"/>
      <c r="C38" s="156"/>
      <c r="D38" s="156"/>
      <c r="E38" s="156"/>
      <c r="F38" s="157"/>
      <c r="G38" s="100" t="s">
        <v>104</v>
      </c>
      <c r="H38" s="158" t="s">
        <v>191</v>
      </c>
      <c r="I38" s="159"/>
      <c r="J38" s="159"/>
      <c r="K38" s="159"/>
      <c r="L38" s="159"/>
      <c r="M38" s="159"/>
      <c r="N38" s="159"/>
      <c r="O38" s="159"/>
      <c r="P38" s="159"/>
      <c r="Q38" s="159"/>
      <c r="R38" s="159"/>
      <c r="S38" s="159"/>
      <c r="T38" s="159"/>
      <c r="U38" s="159"/>
      <c r="V38" s="160"/>
      <c r="W38" s="101" t="s">
        <v>104</v>
      </c>
      <c r="X38" s="158" t="s">
        <v>190</v>
      </c>
      <c r="Y38" s="159"/>
      <c r="Z38" s="160"/>
      <c r="AA38" s="102"/>
      <c r="AB38" s="102"/>
    </row>
    <row r="39" spans="1:28" s="35" customFormat="1" ht="120" customHeight="1">
      <c r="A39" s="155" t="s">
        <v>195</v>
      </c>
      <c r="B39" s="156"/>
      <c r="C39" s="156"/>
      <c r="D39" s="156"/>
      <c r="E39" s="156"/>
      <c r="F39" s="157"/>
      <c r="G39" s="100" t="s">
        <v>104</v>
      </c>
      <c r="H39" s="158" t="s">
        <v>194</v>
      </c>
      <c r="I39" s="159"/>
      <c r="J39" s="159"/>
      <c r="K39" s="159"/>
      <c r="L39" s="159"/>
      <c r="M39" s="159"/>
      <c r="N39" s="159"/>
      <c r="O39" s="159"/>
      <c r="P39" s="159"/>
      <c r="Q39" s="159"/>
      <c r="R39" s="159"/>
      <c r="S39" s="159"/>
      <c r="T39" s="159"/>
      <c r="U39" s="159"/>
      <c r="V39" s="160"/>
      <c r="W39" s="101" t="s">
        <v>104</v>
      </c>
      <c r="X39" s="158" t="s">
        <v>193</v>
      </c>
      <c r="Y39" s="159"/>
      <c r="Z39" s="160"/>
      <c r="AA39" s="102"/>
      <c r="AB39" s="102"/>
    </row>
    <row r="40" spans="1:28" ht="120" customHeight="1">
      <c r="A40" s="161"/>
      <c r="B40" s="162"/>
      <c r="C40" s="162"/>
      <c r="D40" s="162"/>
      <c r="E40" s="162"/>
      <c r="F40" s="162"/>
      <c r="G40" s="89"/>
      <c r="H40" s="163"/>
      <c r="I40" s="164"/>
      <c r="J40" s="164"/>
      <c r="K40" s="164"/>
      <c r="L40" s="164"/>
      <c r="M40" s="164"/>
      <c r="N40" s="164"/>
      <c r="O40" s="164"/>
      <c r="P40" s="164"/>
      <c r="Q40" s="164"/>
      <c r="R40" s="164"/>
      <c r="S40" s="164"/>
      <c r="T40" s="164"/>
      <c r="U40" s="164"/>
      <c r="V40" s="164"/>
      <c r="W40" s="89"/>
      <c r="X40" s="163"/>
      <c r="Y40" s="164"/>
      <c r="Z40" s="164"/>
      <c r="AA40" s="79"/>
    </row>
    <row r="41" spans="1:28" ht="120" customHeight="1">
      <c r="A41" s="180" t="s">
        <v>92</v>
      </c>
      <c r="B41" s="119"/>
      <c r="C41" s="119"/>
      <c r="D41" s="119"/>
      <c r="E41" s="119"/>
      <c r="F41" s="119"/>
      <c r="G41" s="119"/>
      <c r="H41" s="119"/>
      <c r="I41" s="119"/>
      <c r="J41" s="119"/>
      <c r="K41" s="119"/>
      <c r="L41" s="119"/>
      <c r="M41" s="119"/>
      <c r="N41" s="119"/>
      <c r="O41" s="119"/>
      <c r="P41" s="119"/>
      <c r="Q41" s="119"/>
      <c r="R41" s="119"/>
      <c r="S41" s="119"/>
      <c r="T41" s="119"/>
      <c r="U41" s="119"/>
      <c r="V41" s="119"/>
      <c r="W41" s="119"/>
      <c r="X41" s="119"/>
      <c r="Y41" s="119"/>
      <c r="Z41" s="119"/>
      <c r="AA41" s="119"/>
    </row>
    <row r="42" spans="1:28" ht="120" customHeight="1">
      <c r="A42" s="119"/>
      <c r="B42" s="119"/>
      <c r="C42" s="119"/>
      <c r="D42" s="119"/>
      <c r="E42" s="119"/>
      <c r="F42" s="119"/>
      <c r="G42" s="119"/>
      <c r="H42" s="119"/>
      <c r="I42" s="119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19"/>
    </row>
    <row r="43" spans="1:28" ht="120" customHeight="1">
      <c r="A43" s="119"/>
      <c r="B43" s="119"/>
      <c r="C43" s="119"/>
      <c r="D43" s="119"/>
      <c r="E43" s="119"/>
      <c r="F43" s="119"/>
      <c r="G43" s="119"/>
      <c r="H43" s="119"/>
      <c r="I43" s="119"/>
      <c r="J43" s="119"/>
      <c r="K43" s="119"/>
      <c r="L43" s="119"/>
      <c r="M43" s="119"/>
      <c r="N43" s="119"/>
      <c r="O43" s="119"/>
      <c r="P43" s="119"/>
      <c r="Q43" s="119"/>
      <c r="R43" s="119"/>
      <c r="S43" s="119"/>
      <c r="T43" s="119"/>
      <c r="U43" s="119"/>
      <c r="V43" s="119"/>
      <c r="W43" s="119"/>
      <c r="X43" s="119"/>
      <c r="Y43" s="119"/>
      <c r="Z43" s="119"/>
      <c r="AA43" s="119"/>
    </row>
    <row r="44" spans="1:28" ht="120" customHeight="1"/>
    <row r="45" spans="1:28" ht="120" customHeight="1"/>
    <row r="46" spans="1:28" ht="120" customHeight="1"/>
    <row r="47" spans="1:28" ht="120" customHeight="1"/>
    <row r="48" spans="1:28" ht="120" customHeight="1"/>
    <row r="49" ht="120" customHeight="1"/>
    <row r="50" ht="120" customHeight="1"/>
  </sheetData>
  <mergeCells count="100">
    <mergeCell ref="A23:F23"/>
    <mergeCell ref="H23:V23"/>
    <mergeCell ref="X23:Z23"/>
    <mergeCell ref="A20:F20"/>
    <mergeCell ref="X21:Z21"/>
    <mergeCell ref="A41:AA43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40:F40"/>
    <mergeCell ref="H40:V40"/>
    <mergeCell ref="X40:Z40"/>
    <mergeCell ref="A19:F19"/>
    <mergeCell ref="H19:V19"/>
    <mergeCell ref="X19:Z19"/>
    <mergeCell ref="H20:V20"/>
    <mergeCell ref="X20:Z20"/>
    <mergeCell ref="A21:F21"/>
    <mergeCell ref="H21:V21"/>
    <mergeCell ref="A39:F39"/>
    <mergeCell ref="H39:V39"/>
    <mergeCell ref="X39:Z39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4:F24"/>
    <mergeCell ref="H24:V24"/>
    <mergeCell ref="X24:Z24"/>
    <mergeCell ref="A25:F25"/>
    <mergeCell ref="H25:V25"/>
    <mergeCell ref="X25:Z25"/>
    <mergeCell ref="A26:F26"/>
    <mergeCell ref="H26:V26"/>
    <mergeCell ref="X26:Z26"/>
    <mergeCell ref="A27:F27"/>
    <mergeCell ref="H27:V27"/>
    <mergeCell ref="X27:Z27"/>
    <mergeCell ref="A28:F28"/>
    <mergeCell ref="H28:V28"/>
    <mergeCell ref="X28:Z28"/>
    <mergeCell ref="A29:F29"/>
    <mergeCell ref="H29:V29"/>
    <mergeCell ref="X29:Z29"/>
    <mergeCell ref="A30:F30"/>
    <mergeCell ref="H30:V30"/>
    <mergeCell ref="X30:Z30"/>
    <mergeCell ref="A31:F31"/>
    <mergeCell ref="H31:V31"/>
    <mergeCell ref="X31:Z31"/>
    <mergeCell ref="A32:F32"/>
    <mergeCell ref="H32:V32"/>
    <mergeCell ref="X32:Z32"/>
    <mergeCell ref="A33:F33"/>
    <mergeCell ref="H33:V33"/>
    <mergeCell ref="X33:Z33"/>
    <mergeCell ref="A34:F34"/>
    <mergeCell ref="H34:V34"/>
    <mergeCell ref="X34:Z34"/>
    <mergeCell ref="A35:F35"/>
    <mergeCell ref="H35:V35"/>
    <mergeCell ref="X35:Z35"/>
    <mergeCell ref="A38:F38"/>
    <mergeCell ref="H38:V38"/>
    <mergeCell ref="X38:Z38"/>
    <mergeCell ref="A36:F36"/>
    <mergeCell ref="H36:V36"/>
    <mergeCell ref="X36:Z36"/>
    <mergeCell ref="A37:F37"/>
    <mergeCell ref="H37:V37"/>
    <mergeCell ref="X37:Z37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40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2022-07-06T08:22:08Z</cp:lastPrinted>
  <dcterms:created xsi:type="dcterms:W3CDTF">2008-09-29T00:47:34Z</dcterms:created>
  <dcterms:modified xsi:type="dcterms:W3CDTF">2022-07-06T08:22:39Z</dcterms:modified>
</cp:coreProperties>
</file>