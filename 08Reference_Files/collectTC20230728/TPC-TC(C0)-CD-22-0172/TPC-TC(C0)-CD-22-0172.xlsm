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17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<sst xmlns="http://schemas.openxmlformats.org/spreadsheetml/2006/main" count="151" uniqueCount="118">
  <si>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</si>
  <si>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</si>
  <si>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</si>
  <si>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</si>
  <si>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</si>
  <si>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</si>
  <si>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</si>
  <si>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</si>
  <si>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</si>
  <si>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</si>
  <si>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</si>
  <si>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</si>
  <si>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</si>
  <si>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</si>
  <si>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</si>
  <si>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</si>
  <si>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</si>
  <si>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</si>
  <si>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</si>
  <si>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</si>
  <si>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</si>
  <si>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</si>
  <si>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</si>
  <si>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</si>
  <si>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</si>
  <si>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</si>
  <si>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</si>
  <si>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</si>
  <si>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</si>
  <si>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</si>
  <si>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</si>
  <si>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</si>
  <si>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</si>
  <si>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</si>
  <si>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</si>
  <si>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</si>
  <si>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</si>
  <si>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</si>
  <si>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</si>
  <si>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</si>
  <si>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</si>
  <si>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</si>
  <si>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</si>
  <si>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</si>
  <si>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</si>
  <si>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</si>
  <si>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</si>
  <si>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</si>
  <si>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</si>
  <si>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</si>
  <si>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</si>
  <si>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</si>
  <si>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</si>
  <si>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</si>
  <si>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</si>
  <si>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</si>
  <si>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</si>
  <si>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</si>
  <si>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</si>
  <si>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</si>
  <si>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</si>
  <si>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</si>
  <si>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</si>
  <si>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</si>
  <si>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</si>
  <si>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</si>
  <si>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</si>
  <si>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</si>
  <si>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</si>
  <si>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</si>
  <si>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</si>
  <si>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</si>
  <si>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</si>
  <si>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</si>
  <si>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</si>
  <si>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</si>
  <si>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</si>
  <si>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</si>
  <si>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</si>
  <si>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</si>
  <si>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</si>
  <si>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</si>
  <si>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</si>
  <si>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</si>
  <si>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</si>
  <si>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</si>
  <si>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</si>
  <si>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</si>
  <si>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</si>
  <si>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</si>
  <si>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</si>
  <si>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</si>
  <si>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</si>
  <si>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TPC-TC(C0)-CD-22-0172</t>
  </si>
  <si>
    <t>IFC</t>
  </si>
  <si>
    <t>2022/04/09</t>
  </si>
  <si>
    <t>2022/03/09</t>
  </si>
  <si>
    <t>XF38A-320R-081</t>
  </si>
  <si>
    <t>PIPE RACK PR-3205 PILING PLAN</t>
  </si>
  <si>
    <t>0</t>
  </si>
  <si>
    <t>C</t>
  </si>
  <si>
    <t>Pipe Rack PR-3205 Piling Plan_R0 (IFC)</t>
  </si>
  <si>
    <t>TC0-1-CSC02-D3281</t>
  </si>
  <si>
    <t>陳博仁  Ext.:23341</t>
  </si>
  <si>
    <t>CB-0177</t>
  </si>
  <si>
    <t>A</t>
  </si>
  <si>
    <t>XF38A-320R-081C</t>
  </si>
  <si>
    <t>CALCULATION SHEET FOR PIPE RACK PR-3205 PILING</t>
  </si>
  <si>
    <t>TC0-1-CSC02-C3281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</si>
  <si>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</si>
  <si>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</si>
  <si>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</si>
  <si>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</si>
  <si>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</si>
  <si>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</si>
  <si>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</si>
  <si>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</si>
  <si>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t>□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</si>
</sst>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17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e%20Rack%20PR-3205%20Piling%20Plan_R0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V36" sqref="V36:Z3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29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45" t="str">
        <f>Data1!D2</f>
        <v>2022/03/09</v>
      </c>
      <c r="Y7" s="146"/>
      <c r="Z7" s="146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47" t="str">
        <f>Data1!A2</f>
        <v>TPC-TC(C0)-CD-22-0172</v>
      </c>
      <c r="Y8" s="117"/>
      <c r="Z8" s="117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79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37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38</v>
      </c>
      <c r="B18" s="141" t="str">
        <f>Data1!I2</f>
        <v>Pipe Rack PR-3205 Piling Plan_R0 (IFC)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116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57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117</v>
      </c>
      <c r="C24" s="139" t="s">
        <v>58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41</v>
      </c>
      <c r="C25" s="132" t="s">
        <v>42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109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110</v>
      </c>
      <c r="C27" s="130" t="s">
        <v>43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73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45</v>
      </c>
      <c r="B31" s="123"/>
      <c r="C31" s="123"/>
      <c r="D31" s="123"/>
      <c r="E31" s="123"/>
      <c r="F31" s="124"/>
      <c r="G31" s="46" t="s">
        <v>46</v>
      </c>
      <c r="H31" s="125" t="s">
        <v>47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48</v>
      </c>
      <c r="X31" s="125" t="s">
        <v>49</v>
      </c>
      <c r="Y31" s="128"/>
      <c r="Z31" s="129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48" t="s">
        <v>108</v>
      </c>
      <c r="B33" s="149"/>
      <c r="C33" s="149"/>
      <c r="D33" s="149"/>
      <c r="E33" s="149"/>
      <c r="F33" s="150"/>
      <c r="G33" s="94" t="s">
        <v>99</v>
      </c>
      <c r="H33" s="151" t="s">
        <v>107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100</v>
      </c>
      <c r="X33" s="151" t="s">
        <v>106</v>
      </c>
      <c r="Y33" s="152"/>
      <c r="Z33" s="153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CB-0177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54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55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115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111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00" t="s">
        <v>59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60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56</v>
      </c>
      <c r="D50" s="103" t="s">
        <v>51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00" t="s">
        <v>61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60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114</v>
      </c>
      <c r="D55" s="101" t="s">
        <v>62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60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113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112</v>
      </c>
      <c r="D58" s="105" t="s">
        <v>70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63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00" t="s">
        <v>64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65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00" t="s">
        <v>85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67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68</v>
      </c>
      <c r="C66" s="100" t="s">
        <v>86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71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68</v>
      </c>
      <c r="C68" s="101" t="s">
        <v>82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72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41</v>
      </c>
      <c r="C70" s="99" t="s">
        <v>88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69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2022-03-09T02:09:43Z</cp:lastPrinted>
  <dcterms:created xsi:type="dcterms:W3CDTF">2008-09-29T00:47:34Z</dcterms:created>
  <dcterms:modified xsi:type="dcterms:W3CDTF">2022-03-09T02:10:01Z</dcterms:modified>
</cp:coreProperties>
</file>