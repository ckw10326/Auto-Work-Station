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PS-0250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<sst xmlns="http://schemas.openxmlformats.org/spreadsheetml/2006/main" count="151" uniqueCount="112">
  <si>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</si>
  <si>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</si>
  <si>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</si>
  <si>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</si>
  <si>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</si>
  <si>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</si>
  <si>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</si>
  <si>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</si>
  <si>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</si>
  <si>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</si>
  <si>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</si>
  <si>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</si>
  <si>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</si>
  <si>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</si>
  <si>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</si>
  <si>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</si>
  <si>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</si>
  <si>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</si>
  <si>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</si>
  <si>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</si>
  <si>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</si>
  <si>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</si>
  <si>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</si>
  <si>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</si>
  <si>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</si>
  <si>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</si>
  <si>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</si>
  <si>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</si>
  <si>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</si>
  <si>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</si>
  <si>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</si>
  <si>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</si>
  <si>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</si>
  <si>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</si>
  <si>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</si>
  <si>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</si>
  <si>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</si>
  <si>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</si>
  <si>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</si>
  <si>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</si>
  <si>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</si>
  <si>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</si>
  <si>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</si>
  <si>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</si>
  <si>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</si>
  <si>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</si>
  <si>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</si>
  <si>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</si>
  <si>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</si>
  <si>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</si>
  <si>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</si>
  <si>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</si>
  <si>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</si>
  <si>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</si>
  <si>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</si>
  <si>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</si>
  <si>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</si>
  <si>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</si>
  <si>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</si>
  <si>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</si>
  <si>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</si>
  <si>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</si>
  <si>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</si>
  <si>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</si>
  <si>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</si>
  <si>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</si>
  <si>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</si>
  <si>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</si>
  <si>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</si>
  <si>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</si>
  <si>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</si>
  <si>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</si>
  <si>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</si>
  <si>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</si>
  <si>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</si>
  <si>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</si>
  <si>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</si>
  <si>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</si>
  <si>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</si>
  <si>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</si>
  <si>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</si>
  <si>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</si>
  <si>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</si>
  <si>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</si>
  <si>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</si>
  <si>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</si>
  <si>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</si>
  <si>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</si>
  <si>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</si>
  <si>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</si>
  <si>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</si>
  <si>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</si>
  <si>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</si>
  <si>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</si>
  <si>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DOCDOCCLASS</t>
  </si>
  <si>
    <t>TPC-TC(C0)-CD-22-0256</t>
  </si>
  <si>
    <t>IFA</t>
  </si>
  <si>
    <t>2022/05/08</t>
  </si>
  <si>
    <t>2022/04/08</t>
  </si>
  <si>
    <t>XB12A-2500-001</t>
  </si>
  <si>
    <t>P&amp;ID - SERVICE WATER SYSTEM FOR ADVANCED WASTEWATER TREATMENT SYSTEM (COMMON) (1/1)</t>
  </si>
  <si>
    <t>C</t>
  </si>
  <si>
    <t>A</t>
  </si>
  <si>
    <t>P&amp;ID and Differential Head Calculation Sheet for Service Water System for Advanced Wastewater Treatment System_RC</t>
  </si>
  <si>
    <t>TC0-1-USM02-D6001</t>
  </si>
  <si>
    <t xml:space="preserve">蕭舜予  Ext.:22121 </t>
  </si>
  <si>
    <t>PS-0250</t>
  </si>
  <si>
    <t>XC34-2500-001</t>
  </si>
  <si>
    <t>DIFFERENTIAL HEAD CALCULATION SHEET FOR SERVICE WATER SYSTEM FOR ADVANCED WASTEWATER TREATMENT SYSTEM</t>
  </si>
  <si>
    <t>TC0-1-USM02-C6001</t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</si>
  <si>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</si>
  <si>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■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</si>
</sst>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256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P&amp;ID%20and%20Differential%20Head%20Calculation%20Sheet%20for%20Service%20Water%20System%20for%20Advanced%20Wastewater%20Treatment%20System_RC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91</v>
      </c>
      <c r="J1" s="25" t="s">
        <v>8</v>
      </c>
      <c r="K1" s="25" t="s">
        <v>92</v>
      </c>
      <c r="L1" s="25" t="s">
        <v>93</v>
      </c>
      <c r="M1" s="25" t="s">
        <v>94</v>
      </c>
      <c r="N1" s="25"/>
      <c r="O1" s="25"/>
      <c r="P1" s="25"/>
      <c r="Q1" s="25"/>
    </row>
    <row r="2" spans="1:17" s="13" customFormat="1">
      <c r="A2" s="26" t="s">
        <v>95</v>
      </c>
      <c r="B2" s="26" t="s">
        <v>96</v>
      </c>
      <c r="C2" s="26" t="s">
        <v>97</v>
      </c>
      <c r="D2" s="26" t="s">
        <v>98</v>
      </c>
      <c r="E2" s="26" t="s">
        <v>99</v>
      </c>
      <c r="F2" s="27" t="s">
        <v>100</v>
      </c>
      <c r="G2" s="26" t="s">
        <v>101</v>
      </c>
      <c r="H2" s="26" t="s">
        <v>102</v>
      </c>
      <c r="I2" s="27" t="s">
        <v>103</v>
      </c>
      <c r="J2" s="26" t="s">
        <v>104</v>
      </c>
      <c r="K2" s="26" t="s">
        <v>105</v>
      </c>
      <c r="L2" s="26" t="s">
        <v>106</v>
      </c>
      <c r="M2" s="27" t="s">
        <v>102</v>
      </c>
      <c r="N2" s="28"/>
      <c r="O2" s="30"/>
      <c r="P2" s="28"/>
      <c r="Q2" s="28"/>
    </row>
    <row r="3" spans="1:17" s="13" customFormat="1">
      <c r="A3" s="26" t="s">
        <v>95</v>
      </c>
      <c r="B3" s="26" t="s">
        <v>96</v>
      </c>
      <c r="C3" s="26" t="s">
        <v>97</v>
      </c>
      <c r="D3" s="26" t="s">
        <v>98</v>
      </c>
      <c r="E3" s="26" t="s">
        <v>107</v>
      </c>
      <c r="F3" s="27" t="s">
        <v>108</v>
      </c>
      <c r="G3" s="26" t="s">
        <v>101</v>
      </c>
      <c r="H3" s="26" t="s">
        <v>102</v>
      </c>
      <c r="I3" s="27" t="s">
        <v>103</v>
      </c>
      <c r="J3" s="26" t="s">
        <v>109</v>
      </c>
      <c r="K3" s="26" t="s">
        <v>105</v>
      </c>
      <c r="L3" s="26" t="s">
        <v>106</v>
      </c>
      <c r="M3" s="27" t="s">
        <v>102</v>
      </c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H40" sqref="H40:V40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29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2" t="str">
        <f>Data1!D2</f>
        <v>2022/04/08</v>
      </c>
      <c r="Y7" s="113"/>
      <c r="Z7" s="113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4" t="str">
        <f>Data1!A2</f>
        <v>TPC-TC(C0)-CD-22-0256</v>
      </c>
      <c r="Y8" s="106"/>
      <c r="Z8" s="106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81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37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38</v>
      </c>
      <c r="B18" s="107" t="str">
        <f>Data1!I2</f>
        <v>P&amp;ID and Differential Head Calculation Sheet for Service Water System for Advanced Wastewater Treatment System_RC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111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57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79</v>
      </c>
      <c r="C24" s="104" t="s">
        <v>58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41</v>
      </c>
      <c r="C25" s="96" t="s">
        <v>42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59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41</v>
      </c>
      <c r="C27" s="94" t="s">
        <v>43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74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45</v>
      </c>
      <c r="B31" s="119"/>
      <c r="C31" s="119"/>
      <c r="D31" s="119"/>
      <c r="E31" s="119"/>
      <c r="F31" s="120"/>
      <c r="G31" s="46" t="s">
        <v>46</v>
      </c>
      <c r="H31" s="121" t="s">
        <v>47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48</v>
      </c>
      <c r="X31" s="121" t="s">
        <v>49</v>
      </c>
      <c r="Y31" s="124"/>
      <c r="Z31" s="125"/>
    </row>
    <row r="32" spans="1:28" s="34" customFormat="1" ht="75" customHeight="1">
      <c r="A32" s="126" t="s">
        <v>104</v>
      </c>
      <c r="B32" s="127"/>
      <c r="C32" s="127"/>
      <c r="D32" s="127"/>
      <c r="E32" s="127"/>
      <c r="F32" s="128"/>
      <c r="G32" s="48" t="s">
        <v>101</v>
      </c>
      <c r="H32" s="129" t="s">
        <v>100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6"/>
      <c r="W32" s="49" t="s">
        <v>102</v>
      </c>
      <c r="X32" s="129" t="s">
        <v>99</v>
      </c>
      <c r="Y32" s="130"/>
      <c r="Z32" s="146"/>
    </row>
    <row r="33" spans="1:28" s="34" customFormat="1" ht="75" customHeight="1">
      <c r="A33" s="126" t="s">
        <v>109</v>
      </c>
      <c r="B33" s="127"/>
      <c r="C33" s="127"/>
      <c r="D33" s="127"/>
      <c r="E33" s="127"/>
      <c r="F33" s="128"/>
      <c r="G33" s="48" t="s">
        <v>101</v>
      </c>
      <c r="H33" s="129" t="s">
        <v>108</v>
      </c>
      <c r="I33" s="130"/>
      <c r="J33" s="130"/>
      <c r="K33" s="130"/>
      <c r="L33" s="130"/>
      <c r="M33" s="130"/>
      <c r="N33" s="130"/>
      <c r="O33" s="130"/>
      <c r="P33" s="130"/>
      <c r="Q33" s="130"/>
      <c r="R33" s="130"/>
      <c r="S33" s="130"/>
      <c r="T33" s="130"/>
      <c r="U33" s="130"/>
      <c r="V33" s="146"/>
      <c r="W33" s="49" t="s">
        <v>102</v>
      </c>
      <c r="X33" s="129" t="s">
        <v>107</v>
      </c>
      <c r="Y33" s="130"/>
      <c r="Z33" s="146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1"/>
      <c r="O34" s="131"/>
      <c r="P34" s="131"/>
      <c r="Q34" s="131"/>
      <c r="R34" s="131"/>
      <c r="S34" s="131"/>
      <c r="T34" s="131"/>
      <c r="U34" s="131"/>
      <c r="V34" s="132"/>
      <c r="W34" s="49"/>
      <c r="X34" s="129"/>
      <c r="Y34" s="131"/>
      <c r="Z34" s="13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 xml:space="preserve">蕭舜予  Ext.:22121 </v>
      </c>
      <c r="E36" s="51"/>
      <c r="F36" s="51"/>
      <c r="G36" s="51"/>
      <c r="H36" s="93" t="str">
        <f>Data1!L2</f>
        <v>PS-0250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5" t="s">
        <v>54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4"/>
      <c r="B38" s="97"/>
      <c r="C38" s="97"/>
      <c r="D38" s="97"/>
      <c r="E38" s="97"/>
      <c r="F38" s="97"/>
      <c r="G38" s="38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4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55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5" t="s">
        <v>0</v>
      </c>
      <c r="W43" s="136"/>
      <c r="X43" s="136"/>
      <c r="Y43" s="136"/>
      <c r="Z43" s="136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3" t="s">
        <v>110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140" t="s">
        <v>80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34" customFormat="1" ht="41.25" customHeight="1">
      <c r="A47" s="56"/>
      <c r="B47" s="57" t="s">
        <v>79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79</v>
      </c>
      <c r="D48" s="140" t="s">
        <v>60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60"/>
      <c r="D49" s="140" t="s">
        <v>61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6"/>
      <c r="B50" s="57"/>
      <c r="C50" s="57" t="s">
        <v>56</v>
      </c>
      <c r="D50" s="141" t="s">
        <v>51</v>
      </c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</row>
    <row r="51" spans="1:28" s="34" customFormat="1" ht="41.25" customHeight="1">
      <c r="A51" s="53"/>
      <c r="B51" s="61" t="s">
        <v>79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79</v>
      </c>
      <c r="D52" s="140" t="s">
        <v>62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57"/>
      <c r="C53" s="63"/>
      <c r="D53" s="140" t="s">
        <v>61</v>
      </c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</row>
    <row r="54" spans="1:28" s="34" customFormat="1" ht="41.25" customHeight="1">
      <c r="A54" s="56"/>
      <c r="B54" s="62" t="s">
        <v>79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79</v>
      </c>
      <c r="D55" s="137" t="s">
        <v>63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</row>
    <row r="56" spans="1:28" s="34" customFormat="1" ht="41.25" customHeight="1">
      <c r="A56" s="56"/>
      <c r="B56" s="57"/>
      <c r="C56" s="63"/>
      <c r="D56" s="140" t="s">
        <v>61</v>
      </c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</row>
    <row r="57" spans="1:28" s="34" customFormat="1" ht="41.25" customHeight="1">
      <c r="A57" s="56"/>
      <c r="B57" s="57"/>
      <c r="C57" s="62" t="s">
        <v>56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41</v>
      </c>
      <c r="D58" s="139" t="s">
        <v>71</v>
      </c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</row>
    <row r="59" spans="1:28" s="34" customFormat="1" ht="41.25" customHeight="1">
      <c r="A59" s="56"/>
      <c r="B59" s="57"/>
      <c r="C59" s="63"/>
      <c r="D59" s="140" t="s">
        <v>64</v>
      </c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34" customFormat="1" ht="41.25" customHeight="1">
      <c r="A60" s="56"/>
      <c r="B60" s="62" t="s">
        <v>56</v>
      </c>
      <c r="C60" s="92" t="s">
        <v>89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40" t="s">
        <v>65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56"/>
      <c r="B62" s="57"/>
      <c r="C62" s="63"/>
      <c r="D62" s="140" t="s">
        <v>66</v>
      </c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</row>
    <row r="63" spans="1:28" s="34" customFormat="1" ht="41.25" customHeight="1">
      <c r="A63" s="65" t="s">
        <v>67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40" t="s">
        <v>87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2"/>
      <c r="V64" s="142"/>
      <c r="W64" s="142"/>
      <c r="X64" s="142"/>
      <c r="Y64" s="143"/>
      <c r="Z64" s="143"/>
      <c r="AA64" s="143"/>
      <c r="AB64" s="58"/>
    </row>
    <row r="65" spans="1:28" s="34" customFormat="1" ht="41.25" customHeight="1">
      <c r="A65" s="56"/>
      <c r="B65" s="66"/>
      <c r="C65" s="140" t="s">
        <v>68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7" t="s">
        <v>69</v>
      </c>
      <c r="C66" s="140" t="s">
        <v>88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6"/>
      <c r="C67" s="140" t="s">
        <v>72</v>
      </c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58"/>
    </row>
    <row r="68" spans="1:28" s="34" customFormat="1" ht="41.25" customHeight="1">
      <c r="A68" s="56"/>
      <c r="B68" s="67" t="s">
        <v>69</v>
      </c>
      <c r="C68" s="137" t="s">
        <v>84</v>
      </c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58"/>
    </row>
    <row r="69" spans="1:28" s="34" customFormat="1" ht="41.25" customHeight="1">
      <c r="A69" s="56"/>
      <c r="B69" s="66"/>
      <c r="C69" s="140" t="s">
        <v>73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60.75" customHeight="1">
      <c r="A70" s="56"/>
      <c r="B70" s="66" t="s">
        <v>41</v>
      </c>
      <c r="C70" s="145" t="s">
        <v>90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s="34" customFormat="1" ht="41.25" customHeight="1">
      <c r="A71" s="56"/>
      <c r="B71" s="66"/>
      <c r="C71" s="140" t="s">
        <v>70</v>
      </c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58"/>
    </row>
    <row r="72" spans="1:28" ht="33.950000000000003" customHeight="1">
      <c r="A72" s="21"/>
      <c r="B72" s="2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75</v>
      </c>
      <c r="B1" s="75" t="s">
        <v>76</v>
      </c>
    </row>
    <row r="2" spans="1:2">
      <c r="A2" s="75" t="s">
        <v>77</v>
      </c>
      <c r="B2" s="75" t="s">
        <v>78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2022-04-08T09:09:46Z</cp:lastPrinted>
  <dcterms:created xsi:type="dcterms:W3CDTF">2008-09-29T00:47:34Z</dcterms:created>
  <dcterms:modified xsi:type="dcterms:W3CDTF">2022-04-08T09:10:04Z</dcterms:modified>
</cp:coreProperties>
</file>