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<sst xmlns="http://schemas.openxmlformats.org/spreadsheetml/2006/main" count="169" uniqueCount="114">
  <si>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</si>
  <si>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</si>
  <si>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</si>
  <si>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</si>
  <si>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</si>
  <si>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</si>
  <si>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</si>
  <si>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</si>
  <si>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</si>
  <si>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</si>
  <si>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</si>
  <si>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</si>
  <si>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</si>
  <si>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</si>
  <si>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</si>
  <si>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</si>
  <si>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</si>
  <si>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</si>
  <si>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</si>
  <si>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</si>
  <si>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</si>
  <si>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</si>
  <si>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</si>
  <si>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</si>
  <si>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</si>
  <si>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</si>
  <si>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</si>
  <si>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</si>
  <si>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</si>
  <si>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</si>
  <si>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</si>
  <si>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</si>
  <si>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</si>
  <si>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</si>
  <si>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</si>
  <si>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</si>
  <si>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</si>
  <si>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</si>
  <si>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</si>
  <si>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</si>
  <si>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</si>
  <si>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</si>
  <si>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</si>
  <si>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</si>
  <si>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</si>
  <si>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</si>
  <si>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</si>
  <si>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</si>
  <si>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</si>
  <si>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</si>
  <si>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</si>
  <si>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</si>
  <si>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</si>
  <si>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</si>
  <si>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</si>
  <si>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</si>
  <si>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</si>
  <si>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</si>
  <si>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</si>
  <si>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</si>
  <si>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</si>
  <si>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</si>
  <si>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</si>
  <si>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</si>
  <si>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</si>
  <si>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</si>
  <si>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</si>
  <si>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</si>
  <si>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</si>
  <si>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</si>
  <si>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</si>
  <si>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</si>
  <si>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</si>
  <si>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</si>
  <si>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</si>
  <si>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</si>
  <si>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</si>
  <si>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</si>
  <si>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</si>
  <si>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</si>
  <si>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</si>
  <si>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</si>
  <si>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</si>
  <si>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</si>
  <si>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</si>
  <si>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</si>
  <si>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</si>
  <si>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</si>
  <si>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</si>
  <si>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</si>
  <si>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</si>
  <si>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</si>
  <si>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</si>
  <si>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</si>
  <si>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</si>
  <si>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</si>
  <si>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</si>
  <si>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TPC-TC(C0)-CD-22-0908</t>
  </si>
  <si>
    <t>IFA</t>
  </si>
  <si>
    <t>2022/09/22</t>
  </si>
  <si>
    <t>2022/08/23</t>
  </si>
  <si>
    <t>XF71C-4200-201</t>
  </si>
  <si>
    <t>CABLE TUNNEL ELECTRICAL ROOM NO.2 (BLD-4202) HVAC EQUIPMENT SCHEDULE &amp; AIR FLOW DIAGRAM</t>
  </si>
  <si>
    <t>A</t>
  </si>
  <si>
    <t>Cable Tunnel Electrical Room No.2 (BLD-4202) - HVAC System - 機械_RA</t>
  </si>
  <si>
    <t>TC0-1-UZC02-D7901</t>
  </si>
  <si>
    <t>陳博仁  Ext.:23341</t>
  </si>
  <si>
    <t>CB-0352</t>
  </si>
  <si>
    <t>XF71C-4200-221</t>
  </si>
  <si>
    <t>CABLE TUNNEL ELECTRICAL ROOM NO.2 (BLD-4202) HVAC EQUIPMENT, AIR DUCT AND PIPING LAYOUT</t>
  </si>
  <si>
    <t>TC0-1-UZC02-D7921</t>
  </si>
  <si>
    <t>XF72-4200-201C</t>
  </si>
  <si>
    <t>CABLE TUNNEL ELECTRICAL ROOM NO.2 (BLD-4202) HVAC SYSTEM CALCULATION SHEET</t>
  </si>
  <si>
    <t>TC0-1-UZC02-C7901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</si>
</sst>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ble%20Tunnel%20Electrical%20Room%20No.2%20(BLD-4202)%20-%20HVAC%20System%20-%20&#27231;&#26800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6" t="s">
        <v>29</v>
      </c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7"/>
      <c r="Z5" s="98"/>
      <c r="AA5" s="98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3"/>
      <c r="Y6" s="104"/>
      <c r="Z6" s="104"/>
      <c r="AA6" s="104"/>
      <c r="AB6" s="104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0" t="str">
        <f>Data1!D2</f>
        <v>2022/08/23</v>
      </c>
      <c r="Y7" s="111"/>
      <c r="Z7" s="111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2" t="str">
        <f>Data1!A2</f>
        <v>TPC-TC(C0)-CD-22-0908</v>
      </c>
      <c r="Y8" s="104"/>
      <c r="Z8" s="104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7" t="s">
        <v>83</v>
      </c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83"/>
      <c r="AB16" s="83"/>
    </row>
    <row r="17" spans="1:28" s="34" customFormat="1" ht="47.25" customHeight="1">
      <c r="A17" s="109" t="s">
        <v>37</v>
      </c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84"/>
      <c r="AB17" s="84"/>
    </row>
    <row r="18" spans="1:28" s="34" customFormat="1" ht="82.5" customHeight="1">
      <c r="A18" s="66" t="s">
        <v>38</v>
      </c>
      <c r="B18" s="105" t="str">
        <f>Data1!I2</f>
        <v>Cable Tunnel Electrical Room No.2 (BLD-4202) - HVAC System - 機械_RA</v>
      </c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0" t="s">
        <v>80</v>
      </c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</row>
    <row r="23" spans="1:28" s="34" customFormat="1" ht="39.75" customHeight="1">
      <c r="A23" s="100" t="s">
        <v>57</v>
      </c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</row>
    <row r="24" spans="1:28" s="34" customFormat="1" ht="39.75" customHeight="1">
      <c r="A24" s="40"/>
      <c r="B24" s="44" t="s">
        <v>79</v>
      </c>
      <c r="C24" s="102" t="s">
        <v>58</v>
      </c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</row>
    <row r="25" spans="1:28" s="34" customFormat="1" ht="39.75" customHeight="1">
      <c r="A25" s="40"/>
      <c r="B25" s="44" t="s">
        <v>41</v>
      </c>
      <c r="C25" s="94" t="s">
        <v>42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2" t="s">
        <v>43</v>
      </c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2"/>
      <c r="B29" s="92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40"/>
      <c r="Y29" s="41"/>
      <c r="Z29" s="41"/>
      <c r="AA29" s="42"/>
      <c r="AB29" s="41"/>
    </row>
    <row r="30" spans="1:28" s="34" customFormat="1" ht="33.950000000000003" customHeight="1">
      <c r="A30" s="113" t="s">
        <v>74</v>
      </c>
      <c r="B30" s="114"/>
      <c r="C30" s="114"/>
      <c r="D30" s="114"/>
      <c r="E30" s="114"/>
      <c r="F30" s="115"/>
      <c r="G30" s="115"/>
      <c r="H30" s="115"/>
      <c r="I30" s="115"/>
      <c r="J30" s="115"/>
      <c r="K30" s="115"/>
      <c r="L30" s="115"/>
      <c r="M30" s="115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5"/>
      <c r="AB30" s="115"/>
    </row>
    <row r="31" spans="1:28" s="34" customFormat="1" ht="39.75" customHeight="1">
      <c r="A31" s="116" t="s">
        <v>45</v>
      </c>
      <c r="B31" s="117"/>
      <c r="C31" s="117"/>
      <c r="D31" s="117"/>
      <c r="E31" s="117"/>
      <c r="F31" s="118"/>
      <c r="G31" s="46" t="s">
        <v>46</v>
      </c>
      <c r="H31" s="119" t="s">
        <v>47</v>
      </c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1"/>
      <c r="W31" s="47" t="s">
        <v>48</v>
      </c>
      <c r="X31" s="119" t="s">
        <v>49</v>
      </c>
      <c r="Y31" s="122"/>
      <c r="Z31" s="123"/>
    </row>
    <row r="32" spans="1:28" s="34" customFormat="1" ht="75" customHeight="1">
      <c r="A32" s="137" t="s">
        <v>105</v>
      </c>
      <c r="B32" s="138"/>
      <c r="C32" s="138"/>
      <c r="D32" s="138"/>
      <c r="E32" s="138"/>
      <c r="F32" s="139"/>
      <c r="G32" s="140" t="s">
        <v>103</v>
      </c>
      <c r="H32" s="141" t="s">
        <v>102</v>
      </c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3"/>
      <c r="W32" s="144" t="s">
        <v>103</v>
      </c>
      <c r="X32" s="141" t="s">
        <v>101</v>
      </c>
      <c r="Y32" s="142"/>
      <c r="Z32" s="143"/>
    </row>
    <row r="33" spans="1:28" s="34" customFormat="1" ht="75" customHeight="1">
      <c r="A33" s="137" t="s">
        <v>110</v>
      </c>
      <c r="B33" s="138"/>
      <c r="C33" s="138"/>
      <c r="D33" s="138"/>
      <c r="E33" s="138"/>
      <c r="F33" s="139"/>
      <c r="G33" s="140" t="s">
        <v>103</v>
      </c>
      <c r="H33" s="141" t="s">
        <v>109</v>
      </c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3"/>
      <c r="W33" s="144" t="s">
        <v>103</v>
      </c>
      <c r="X33" s="141" t="s">
        <v>108</v>
      </c>
      <c r="Y33" s="142"/>
      <c r="Z33" s="143"/>
    </row>
    <row r="34" spans="1:28" s="34" customFormat="1" ht="75" customHeight="1">
      <c r="A34" s="137" t="s">
        <v>113</v>
      </c>
      <c r="B34" s="138"/>
      <c r="C34" s="138"/>
      <c r="D34" s="138"/>
      <c r="E34" s="138"/>
      <c r="F34" s="139"/>
      <c r="G34" s="140" t="s">
        <v>103</v>
      </c>
      <c r="H34" s="141" t="s">
        <v>112</v>
      </c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3"/>
      <c r="W34" s="144" t="s">
        <v>103</v>
      </c>
      <c r="X34" s="141" t="s">
        <v>111</v>
      </c>
      <c r="Y34" s="142"/>
      <c r="Z34" s="143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84</v>
      </c>
      <c r="B36" s="49"/>
      <c r="C36" s="49"/>
      <c r="D36" s="89" t="str">
        <f>Data1!K2</f>
        <v>陳博仁  Ext.:23341</v>
      </c>
      <c r="E36" s="49"/>
      <c r="F36" s="49"/>
      <c r="G36" s="49"/>
      <c r="H36" s="91" t="str">
        <f>Data1!L2</f>
        <v>CB-0352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6" t="s">
        <v>54</v>
      </c>
      <c r="W36" s="108"/>
      <c r="X36" s="108"/>
      <c r="Y36" s="108"/>
      <c r="Z36" s="108"/>
      <c r="AA36" s="81"/>
      <c r="AB36" s="48"/>
    </row>
    <row r="37" spans="1:28" s="34" customFormat="1" ht="33.950000000000003" customHeight="1">
      <c r="A37" s="125"/>
      <c r="B37" s="95"/>
      <c r="C37" s="95"/>
      <c r="D37" s="95"/>
      <c r="E37" s="95"/>
      <c r="F37" s="95"/>
      <c r="G37" s="38"/>
      <c r="H37" s="12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5"/>
      <c r="B38" s="95"/>
      <c r="C38" s="95"/>
      <c r="D38" s="95"/>
      <c r="E38" s="95"/>
      <c r="F38" s="95"/>
      <c r="G38" s="38"/>
      <c r="H38" s="12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5"/>
      <c r="B40" s="95"/>
      <c r="C40" s="95"/>
      <c r="D40" s="95"/>
      <c r="E40" s="95"/>
      <c r="F40" s="95"/>
      <c r="G40" s="38"/>
      <c r="H40" s="12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5"/>
      <c r="B41" s="95"/>
      <c r="C41" s="95"/>
      <c r="D41" s="95"/>
      <c r="E41" s="95"/>
      <c r="F41" s="95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6" t="s">
        <v>55</v>
      </c>
      <c r="W42" s="104"/>
      <c r="X42" s="104"/>
      <c r="Y42" s="104"/>
      <c r="Z42" s="104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6" t="s">
        <v>0</v>
      </c>
      <c r="W43" s="127"/>
      <c r="X43" s="127"/>
      <c r="Y43" s="127"/>
      <c r="Z43" s="127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4" t="s">
        <v>81</v>
      </c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</row>
    <row r="46" spans="1:28" s="34" customFormat="1" ht="41.25" customHeight="1">
      <c r="A46" s="131" t="s">
        <v>82</v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</row>
    <row r="47" spans="1:28" s="34" customFormat="1" ht="41.25" customHeight="1">
      <c r="A47" s="54"/>
      <c r="B47" s="55" t="s">
        <v>79</v>
      </c>
      <c r="C47" s="54" t="s">
        <v>87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1" t="s">
        <v>60</v>
      </c>
      <c r="E48" s="132"/>
      <c r="F48" s="132"/>
      <c r="G48" s="132"/>
      <c r="H48" s="132"/>
      <c r="I48" s="132"/>
      <c r="J48" s="132"/>
      <c r="K48" s="132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</row>
    <row r="49" spans="1:28" s="34" customFormat="1" ht="41.25" customHeight="1">
      <c r="A49" s="54"/>
      <c r="B49" s="55"/>
      <c r="C49" s="58"/>
      <c r="D49" s="131" t="s">
        <v>61</v>
      </c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</row>
    <row r="50" spans="1:28" s="34" customFormat="1" ht="41.25" customHeight="1">
      <c r="A50" s="54"/>
      <c r="B50" s="55"/>
      <c r="C50" s="55" t="s">
        <v>56</v>
      </c>
      <c r="D50" s="132" t="s">
        <v>51</v>
      </c>
      <c r="E50" s="132"/>
      <c r="F50" s="132"/>
      <c r="G50" s="132"/>
      <c r="H50" s="132"/>
      <c r="I50" s="132"/>
      <c r="J50" s="132"/>
      <c r="K50" s="132"/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</row>
    <row r="51" spans="1:28" s="34" customFormat="1" ht="41.25" customHeight="1">
      <c r="A51" s="51"/>
      <c r="B51" s="59" t="s">
        <v>79</v>
      </c>
      <c r="C51" s="51" t="s">
        <v>88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1" t="s">
        <v>62</v>
      </c>
      <c r="E52" s="132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</row>
    <row r="53" spans="1:28" s="34" customFormat="1" ht="41.25" customHeight="1">
      <c r="A53" s="54"/>
      <c r="B53" s="55"/>
      <c r="C53" s="61"/>
      <c r="D53" s="131" t="s">
        <v>61</v>
      </c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</row>
    <row r="54" spans="1:28" s="34" customFormat="1" ht="41.25" customHeight="1">
      <c r="A54" s="54"/>
      <c r="B54" s="60" t="s">
        <v>79</v>
      </c>
      <c r="C54" s="54" t="s">
        <v>85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28" t="s">
        <v>63</v>
      </c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</row>
    <row r="56" spans="1:28" s="34" customFormat="1" ht="41.25" customHeight="1">
      <c r="A56" s="54"/>
      <c r="B56" s="55"/>
      <c r="C56" s="61"/>
      <c r="D56" s="131" t="s">
        <v>61</v>
      </c>
      <c r="E56" s="132"/>
      <c r="F56" s="132"/>
      <c r="G56" s="132"/>
      <c r="H56" s="132"/>
      <c r="I56" s="132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0" t="s">
        <v>71</v>
      </c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  <c r="Y58" s="130"/>
      <c r="Z58" s="130"/>
      <c r="AA58" s="130"/>
      <c r="AB58" s="130"/>
    </row>
    <row r="59" spans="1:28" s="34" customFormat="1" ht="41.25" customHeight="1">
      <c r="A59" s="54"/>
      <c r="B59" s="55"/>
      <c r="C59" s="61"/>
      <c r="D59" s="131" t="s">
        <v>64</v>
      </c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</row>
    <row r="60" spans="1:28" s="34" customFormat="1" ht="41.25" customHeight="1">
      <c r="A60" s="54"/>
      <c r="B60" s="60" t="s">
        <v>56</v>
      </c>
      <c r="C60" s="90" t="s">
        <v>91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1" t="s">
        <v>65</v>
      </c>
      <c r="E61" s="132"/>
      <c r="F61" s="132"/>
      <c r="G61" s="132"/>
      <c r="H61" s="132"/>
      <c r="I61" s="132"/>
      <c r="J61" s="132"/>
      <c r="K61" s="132"/>
      <c r="L61" s="132"/>
      <c r="M61" s="132"/>
      <c r="N61" s="132"/>
      <c r="O61" s="132"/>
      <c r="P61" s="132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</row>
    <row r="62" spans="1:28" s="34" customFormat="1" ht="41.25" customHeight="1">
      <c r="A62" s="54"/>
      <c r="B62" s="55"/>
      <c r="C62" s="61"/>
      <c r="D62" s="131" t="s">
        <v>66</v>
      </c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1" t="s">
        <v>89</v>
      </c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3"/>
      <c r="V64" s="133"/>
      <c r="W64" s="133"/>
      <c r="X64" s="133"/>
      <c r="Y64" s="134"/>
      <c r="Z64" s="134"/>
      <c r="AA64" s="134"/>
      <c r="AB64" s="56"/>
    </row>
    <row r="65" spans="1:28" s="34" customFormat="1" ht="41.25" customHeight="1">
      <c r="A65" s="54"/>
      <c r="B65" s="64"/>
      <c r="C65" s="131" t="s">
        <v>68</v>
      </c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56"/>
    </row>
    <row r="66" spans="1:28" s="34" customFormat="1" ht="41.25" customHeight="1">
      <c r="A66" s="54"/>
      <c r="B66" s="65" t="s">
        <v>69</v>
      </c>
      <c r="C66" s="131" t="s">
        <v>90</v>
      </c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56"/>
    </row>
    <row r="67" spans="1:28" s="34" customFormat="1" ht="41.25" customHeight="1">
      <c r="A67" s="54"/>
      <c r="B67" s="64"/>
      <c r="C67" s="131" t="s">
        <v>72</v>
      </c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56"/>
    </row>
    <row r="68" spans="1:28" s="34" customFormat="1" ht="41.25" customHeight="1">
      <c r="A68" s="54"/>
      <c r="B68" s="65" t="s">
        <v>69</v>
      </c>
      <c r="C68" s="128" t="s">
        <v>86</v>
      </c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8"/>
      <c r="U68" s="128"/>
      <c r="V68" s="128"/>
      <c r="W68" s="128"/>
      <c r="X68" s="128"/>
      <c r="Y68" s="128"/>
      <c r="Z68" s="128"/>
      <c r="AA68" s="128"/>
      <c r="AB68" s="56"/>
    </row>
    <row r="69" spans="1:28" s="34" customFormat="1" ht="41.25" customHeight="1">
      <c r="A69" s="54"/>
      <c r="B69" s="64"/>
      <c r="C69" s="131" t="s">
        <v>73</v>
      </c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56"/>
    </row>
    <row r="70" spans="1:28" s="34" customFormat="1" ht="60.75" customHeight="1">
      <c r="A70" s="54"/>
      <c r="B70" s="64" t="s">
        <v>41</v>
      </c>
      <c r="C70" s="136" t="s">
        <v>92</v>
      </c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56"/>
    </row>
    <row r="71" spans="1:28" s="34" customFormat="1" ht="41.25" customHeight="1">
      <c r="A71" s="54"/>
      <c r="B71" s="64"/>
      <c r="C71" s="131" t="s">
        <v>70</v>
      </c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56"/>
    </row>
    <row r="72" spans="1:28" ht="33.950000000000003" customHeight="1">
      <c r="A72" s="21"/>
      <c r="B72" s="24"/>
      <c r="C72" s="135"/>
      <c r="D72" s="135"/>
      <c r="E72" s="135"/>
      <c r="F72" s="135"/>
      <c r="G72" s="135"/>
      <c r="H72" s="135"/>
      <c r="I72" s="135"/>
      <c r="J72" s="135"/>
      <c r="K72" s="135"/>
      <c r="L72" s="135"/>
      <c r="M72" s="135"/>
      <c r="N72" s="135"/>
      <c r="O72" s="135"/>
      <c r="P72" s="135"/>
      <c r="Q72" s="135"/>
      <c r="R72" s="135"/>
      <c r="S72" s="135"/>
      <c r="T72" s="135"/>
      <c r="U72" s="135"/>
      <c r="V72" s="135"/>
      <c r="W72" s="135"/>
      <c r="X72" s="135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2022-08-23T00:49:55Z</cp:lastPrinted>
  <dcterms:created xsi:type="dcterms:W3CDTF">2008-09-29T00:47:34Z</dcterms:created>
  <dcterms:modified xsi:type="dcterms:W3CDTF">2022-08-23T00:50:16Z</dcterms:modified>
</cp:coreProperties>
</file>