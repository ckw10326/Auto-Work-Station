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19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<sst xmlns="http://schemas.openxmlformats.org/spreadsheetml/2006/main" count="288" uniqueCount="134">
  <si>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</si>
  <si>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</si>
  <si>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</si>
  <si>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</si>
  <si>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</si>
  <si>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</si>
  <si>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</si>
  <si>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</si>
  <si>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</si>
  <si>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</si>
  <si>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</si>
  <si>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</si>
  <si>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</si>
  <si>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</si>
  <si>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</si>
  <si>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</si>
  <si>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</si>
  <si>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</si>
  <si>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</si>
  <si>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</si>
  <si>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</si>
  <si>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</si>
  <si>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</si>
  <si>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</si>
  <si>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</si>
  <si>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</si>
  <si>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</si>
  <si>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</si>
  <si>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</si>
  <si>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</si>
  <si>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</si>
  <si>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</si>
  <si>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</si>
  <si>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</si>
  <si>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</si>
  <si>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</si>
  <si>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</si>
  <si>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</si>
  <si>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</si>
  <si>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</si>
  <si>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</si>
  <si>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</si>
  <si>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</si>
  <si>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</si>
  <si>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</si>
  <si>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</si>
  <si>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</si>
  <si>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</si>
  <si>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</si>
  <si>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</si>
  <si>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</si>
  <si>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</si>
  <si>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</si>
  <si>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</si>
  <si>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</si>
  <si>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</si>
  <si>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</si>
  <si>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</si>
  <si>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</si>
  <si>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</si>
  <si>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</si>
  <si>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</si>
  <si>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</si>
  <si>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</si>
  <si>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</si>
  <si>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</si>
  <si>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</si>
  <si>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</si>
  <si>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</si>
  <si>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</si>
  <si>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</si>
  <si>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</si>
  <si>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</si>
  <si>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</si>
  <si>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</si>
  <si>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</si>
  <si>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</si>
  <si>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</si>
  <si>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</si>
  <si>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</si>
  <si>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</si>
  <si>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</si>
  <si>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</si>
  <si>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</si>
  <si>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</si>
  <si>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</si>
  <si>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</si>
  <si>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</si>
  <si>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</si>
  <si>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</si>
  <si>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</si>
  <si>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</si>
  <si>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</si>
  <si>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</si>
  <si>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</si>
  <si>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</si>
  <si>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</si>
  <si>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</si>
  <si>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</si>
  <si>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TPC-TC(C0)-CD-22-0195</t>
  </si>
  <si>
    <t>IFA</t>
  </si>
  <si>
    <t>2022/04/17</t>
  </si>
  <si>
    <t>2022/03/17</t>
  </si>
  <si>
    <t>XF38B-3400-041</t>
  </si>
  <si>
    <t>NATURAL GAS TREATMENT / METERING STATION (SHL-3401) STEEL STRUCTURE PILING PLAN</t>
  </si>
  <si>
    <t>A</t>
  </si>
  <si>
    <t>Natural Gas Treatment / Metering Station (SHL-3401) - Foundation_RA</t>
  </si>
  <si>
    <t>TC0-1-CNC02-D3441</t>
  </si>
  <si>
    <t>陳博仁  Ext.:23341</t>
  </si>
  <si>
    <t>CB-0192</t>
  </si>
  <si>
    <t>XF38B-3400-041C</t>
  </si>
  <si>
    <t>CALCULATION SHEET FOR NATURAL GAS TREATMENT METERING STATION (SHL-3401) FOR PILING</t>
  </si>
  <si>
    <t>TC0-1-CNC02-C3441</t>
  </si>
  <si>
    <t>XF38B-3400-042</t>
  </si>
  <si>
    <t>NATURAL GAS TREATMENT / METERING STATION (SHL-3401) STEEL STRUCTURE FOUNDATION PLAN</t>
  </si>
  <si>
    <t>TC0-1-CNC02-D3442</t>
  </si>
  <si>
    <t>XF38B-3400-043</t>
  </si>
  <si>
    <t>NATURAL GAS TREATMENT / METERING STATION (SHL-3401) STEEL STRUCTURE GROUND FLOOR PLAN</t>
  </si>
  <si>
    <t>TC0-1-CNC02-D3443</t>
  </si>
  <si>
    <t>XF38B-3400-044</t>
  </si>
  <si>
    <t>NATURAL GAS TREATMENT / METERING STATION (SHL-3401) STEEL STRUCTURE FOUNDATION SECTIONS &amp; DETAILS(1)</t>
  </si>
  <si>
    <t>TC0-1-CNC02-D3444</t>
  </si>
  <si>
    <t>XF38B-3400-045</t>
  </si>
  <si>
    <t>NATURAL GAS TREATMENT / METERING STATION (SHL-3401) STEEL STRUCTURE FOUNDATION SECTIONS &amp; DETAILS(2)</t>
  </si>
  <si>
    <t>TC0-1-CNC02-D3445</t>
  </si>
  <si>
    <t>XF38B-3400-046</t>
  </si>
  <si>
    <t>NATURAL GAS TREATMENT / METERING STATION (SHL-3401) STEEL STRUCTURE FOUNDATION SECTIONS &amp; DETAILS(3)</t>
  </si>
  <si>
    <t>TC0-1-CNC02-D3446</t>
  </si>
  <si>
    <t>XF38B-3400-047</t>
  </si>
  <si>
    <t>NATURAL GAS TREATMENT / METERING STATION (SHL-3401) STEEL STRUCTURE FOUNDATION SECTIONS &amp; DETAILS(4)</t>
  </si>
  <si>
    <t>TC0-1-CNC02-D3447</t>
  </si>
  <si>
    <t>XF38B-3400-048</t>
  </si>
  <si>
    <t>NATURAL GAS TREATMENT / METERING STATION (SHL-3401) STEEL STRUCTURE FOUNDATION SECTIONS &amp; DETAILS(5)</t>
  </si>
  <si>
    <t>TC0-1-CNC02-D3448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</si>
</sst>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19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Natural%20Gas%20Treatment%20/%20Metering%20Station%20(SHL-3401)%20-%20Foundation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</row>
    <row r="12" spans="1:17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3" sqref="H33:V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2022/03/17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TPC-TC(C0)-CD-22-0195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84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Natural Gas Treatment / Metering Station (SHL-3401) - Foundation_RA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81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8" t="str">
        <f>Data1!K2</f>
        <v>陳博仁  Ext.:23341</v>
      </c>
      <c r="E36" s="52"/>
      <c r="F36" s="52"/>
      <c r="G36" s="52"/>
      <c r="H36" s="100" t="str">
        <f>Data1!L2</f>
        <v>CB-0192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82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83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90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91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87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93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3" sqref="H33:V33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2022/03/17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TPC-TC(C0)-CD-22-0195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107</v>
      </c>
      <c r="B10" s="157"/>
      <c r="C10" s="157"/>
      <c r="D10" s="157"/>
      <c r="E10" s="157"/>
      <c r="F10" s="158"/>
      <c r="G10" s="101" t="s">
        <v>105</v>
      </c>
      <c r="H10" s="159" t="s">
        <v>104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105</v>
      </c>
      <c r="X10" s="159" t="s">
        <v>103</v>
      </c>
      <c r="Y10" s="160"/>
      <c r="Z10" s="161"/>
      <c r="AA10" s="103"/>
      <c r="AB10" s="103"/>
    </row>
    <row r="11" spans="1:28" s="35" customFormat="1" ht="120" customHeight="1">
      <c r="A11" s="156" t="s">
        <v>112</v>
      </c>
      <c r="B11" s="157"/>
      <c r="C11" s="157"/>
      <c r="D11" s="157"/>
      <c r="E11" s="157"/>
      <c r="F11" s="158"/>
      <c r="G11" s="101" t="s">
        <v>105</v>
      </c>
      <c r="H11" s="159" t="s">
        <v>111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105</v>
      </c>
      <c r="X11" s="159" t="s">
        <v>110</v>
      </c>
      <c r="Y11" s="160"/>
      <c r="Z11" s="161"/>
      <c r="AA11" s="103"/>
      <c r="AB11" s="103"/>
    </row>
    <row r="12" spans="1:28" s="35" customFormat="1" ht="120" customHeight="1">
      <c r="A12" s="156" t="s">
        <v>115</v>
      </c>
      <c r="B12" s="157"/>
      <c r="C12" s="157"/>
      <c r="D12" s="157"/>
      <c r="E12" s="157"/>
      <c r="F12" s="158"/>
      <c r="G12" s="101" t="s">
        <v>105</v>
      </c>
      <c r="H12" s="159" t="s">
        <v>114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105</v>
      </c>
      <c r="X12" s="159" t="s">
        <v>113</v>
      </c>
      <c r="Y12" s="160"/>
      <c r="Z12" s="161"/>
      <c r="AA12" s="103"/>
      <c r="AB12" s="103"/>
    </row>
    <row r="13" spans="1:28" s="35" customFormat="1" ht="120" customHeight="1">
      <c r="A13" s="156" t="s">
        <v>118</v>
      </c>
      <c r="B13" s="157"/>
      <c r="C13" s="157"/>
      <c r="D13" s="157"/>
      <c r="E13" s="157"/>
      <c r="F13" s="158"/>
      <c r="G13" s="101" t="s">
        <v>105</v>
      </c>
      <c r="H13" s="159" t="s">
        <v>117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105</v>
      </c>
      <c r="X13" s="159" t="s">
        <v>116</v>
      </c>
      <c r="Y13" s="160"/>
      <c r="Z13" s="161"/>
      <c r="AA13" s="103"/>
      <c r="AB13" s="103"/>
    </row>
    <row r="14" spans="1:28" s="35" customFormat="1" ht="120" customHeight="1">
      <c r="A14" s="156" t="s">
        <v>121</v>
      </c>
      <c r="B14" s="157"/>
      <c r="C14" s="157"/>
      <c r="D14" s="157"/>
      <c r="E14" s="157"/>
      <c r="F14" s="158"/>
      <c r="G14" s="101" t="s">
        <v>105</v>
      </c>
      <c r="H14" s="159" t="s">
        <v>120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105</v>
      </c>
      <c r="X14" s="159" t="s">
        <v>119</v>
      </c>
      <c r="Y14" s="160"/>
      <c r="Z14" s="161"/>
      <c r="AA14" s="103"/>
      <c r="AB14" s="103"/>
    </row>
    <row r="15" spans="1:28" s="35" customFormat="1" ht="120" customHeight="1">
      <c r="A15" s="156" t="s">
        <v>124</v>
      </c>
      <c r="B15" s="157"/>
      <c r="C15" s="157"/>
      <c r="D15" s="157"/>
      <c r="E15" s="157"/>
      <c r="F15" s="158"/>
      <c r="G15" s="101" t="s">
        <v>105</v>
      </c>
      <c r="H15" s="159" t="s">
        <v>123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105</v>
      </c>
      <c r="X15" s="159" t="s">
        <v>122</v>
      </c>
      <c r="Y15" s="160"/>
      <c r="Z15" s="161"/>
      <c r="AA15" s="103"/>
      <c r="AB15" s="103"/>
    </row>
    <row r="16" spans="1:28" s="35" customFormat="1" ht="120" customHeight="1">
      <c r="A16" s="156" t="s">
        <v>127</v>
      </c>
      <c r="B16" s="157"/>
      <c r="C16" s="157"/>
      <c r="D16" s="157"/>
      <c r="E16" s="157"/>
      <c r="F16" s="158"/>
      <c r="G16" s="101" t="s">
        <v>105</v>
      </c>
      <c r="H16" s="159" t="s">
        <v>126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105</v>
      </c>
      <c r="X16" s="159" t="s">
        <v>125</v>
      </c>
      <c r="Y16" s="160"/>
      <c r="Z16" s="161"/>
      <c r="AA16" s="103"/>
      <c r="AB16" s="103"/>
    </row>
    <row r="17" spans="1:28" s="35" customFormat="1" ht="120" customHeight="1">
      <c r="A17" s="156" t="s">
        <v>130</v>
      </c>
      <c r="B17" s="157"/>
      <c r="C17" s="157"/>
      <c r="D17" s="157"/>
      <c r="E17" s="157"/>
      <c r="F17" s="158"/>
      <c r="G17" s="101" t="s">
        <v>105</v>
      </c>
      <c r="H17" s="159" t="s">
        <v>129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105</v>
      </c>
      <c r="X17" s="159" t="s">
        <v>128</v>
      </c>
      <c r="Y17" s="160"/>
      <c r="Z17" s="161"/>
      <c r="AA17" s="103"/>
      <c r="AB17" s="103"/>
    </row>
    <row r="18" spans="1:28" s="35" customFormat="1" ht="120" customHeight="1">
      <c r="A18" s="156" t="s">
        <v>133</v>
      </c>
      <c r="B18" s="157"/>
      <c r="C18" s="157"/>
      <c r="D18" s="157"/>
      <c r="E18" s="157"/>
      <c r="F18" s="158"/>
      <c r="G18" s="101" t="s">
        <v>105</v>
      </c>
      <c r="H18" s="159" t="s">
        <v>132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105</v>
      </c>
      <c r="X18" s="159" t="s">
        <v>131</v>
      </c>
      <c r="Y18" s="160"/>
      <c r="Z18" s="161"/>
      <c r="AA18" s="103"/>
      <c r="AB18" s="103"/>
    </row>
    <row r="19" spans="1:28" s="35" customFormat="1" ht="120" customHeight="1">
      <c r="A19" s="136"/>
      <c r="B19" s="137"/>
      <c r="C19" s="137"/>
      <c r="D19" s="137"/>
      <c r="E19" s="137"/>
      <c r="F19" s="138"/>
      <c r="G19" s="49"/>
      <c r="H19" s="139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66"/>
      <c r="W19" s="50"/>
      <c r="X19" s="139"/>
      <c r="Y19" s="140"/>
      <c r="Z19" s="166"/>
      <c r="AA19" s="77"/>
      <c r="AB19" s="77"/>
    </row>
    <row r="20" spans="1:28" s="35" customFormat="1" ht="120" customHeight="1">
      <c r="A20" s="136"/>
      <c r="B20" s="137"/>
      <c r="C20" s="137"/>
      <c r="D20" s="137"/>
      <c r="E20" s="137"/>
      <c r="F20" s="138"/>
      <c r="G20" s="49"/>
      <c r="H20" s="139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66"/>
      <c r="W20" s="50"/>
      <c r="X20" s="139"/>
      <c r="Y20" s="140"/>
      <c r="Z20" s="166"/>
      <c r="AA20" s="77"/>
      <c r="AB20" s="77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6"/>
      <c r="W21" s="50"/>
      <c r="X21" s="139"/>
      <c r="Y21" s="140"/>
      <c r="Z21" s="166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6"/>
      <c r="W22" s="50"/>
      <c r="X22" s="139"/>
      <c r="Y22" s="140"/>
      <c r="Z22" s="166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6"/>
      <c r="W23" s="50"/>
      <c r="X23" s="139"/>
      <c r="Y23" s="140"/>
      <c r="Z23" s="166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6"/>
      <c r="W24" s="50"/>
      <c r="X24" s="139"/>
      <c r="Y24" s="140"/>
      <c r="Z24" s="166"/>
      <c r="AA24" s="77"/>
      <c r="AB24" s="77"/>
    </row>
    <row r="25" spans="1:28" ht="120" customHeight="1">
      <c r="A25" s="162"/>
      <c r="B25" s="163"/>
      <c r="C25" s="163"/>
      <c r="D25" s="163"/>
      <c r="E25" s="163"/>
      <c r="F25" s="163"/>
      <c r="G25" s="90"/>
      <c r="H25" s="164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90"/>
      <c r="X25" s="164"/>
      <c r="Y25" s="165"/>
      <c r="Z25" s="165"/>
      <c r="AA25" s="80"/>
    </row>
    <row r="26" spans="1:28" ht="120" customHeight="1">
      <c r="A26" s="182" t="s">
        <v>94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2022-03-17T05:27:49Z</cp:lastPrinted>
  <dcterms:created xsi:type="dcterms:W3CDTF">2008-09-29T00:47:34Z</dcterms:created>
  <dcterms:modified xsi:type="dcterms:W3CDTF">2022-03-17T05:28:07Z</dcterms:modified>
</cp:coreProperties>
</file>