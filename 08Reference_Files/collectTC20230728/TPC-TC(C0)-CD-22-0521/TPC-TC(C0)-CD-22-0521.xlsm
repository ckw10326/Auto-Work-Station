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52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<sst xmlns="http://schemas.openxmlformats.org/spreadsheetml/2006/main" count="234" uniqueCount="125">
  <si>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</si>
  <si>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</si>
  <si>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</si>
  <si>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</si>
  <si>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</si>
  <si>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</si>
  <si>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</si>
  <si>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</si>
  <si>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</si>
  <si>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</si>
  <si>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</si>
  <si>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</si>
  <si>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</si>
  <si>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</si>
  <si>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</si>
  <si>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</si>
  <si>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</si>
  <si>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</si>
  <si>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</si>
  <si>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</si>
  <si>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</si>
  <si>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</si>
  <si>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</si>
  <si>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</si>
  <si>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</si>
  <si>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</si>
  <si>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</si>
  <si>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</si>
  <si>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</si>
  <si>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</si>
  <si>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</si>
  <si>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</si>
  <si>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</si>
  <si>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</si>
  <si>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</si>
  <si>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</si>
  <si>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</si>
  <si>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</si>
  <si>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</si>
  <si>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</si>
  <si>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</si>
  <si>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</si>
  <si>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</si>
  <si>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</si>
  <si>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</si>
  <si>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</si>
  <si>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</si>
  <si>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</si>
  <si>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</si>
  <si>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</si>
  <si>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</si>
  <si>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</si>
  <si>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</si>
  <si>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</si>
  <si>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</si>
  <si>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</si>
  <si>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</si>
  <si>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</si>
  <si>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</si>
  <si>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</si>
  <si>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</si>
  <si>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</si>
  <si>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</si>
  <si>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</si>
  <si>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</si>
  <si>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</si>
  <si>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</si>
  <si>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</si>
  <si>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</si>
  <si>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</si>
  <si>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</si>
  <si>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</si>
  <si>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</si>
  <si>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</si>
  <si>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</si>
  <si>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</si>
  <si>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</si>
  <si>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</si>
  <si>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</si>
  <si>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</si>
  <si>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</si>
  <si>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</si>
  <si>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</si>
  <si>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</si>
  <si>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</si>
  <si>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</si>
  <si>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</si>
  <si>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</si>
  <si>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</si>
  <si>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</si>
  <si>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</si>
  <si>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</si>
  <si>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</si>
  <si>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</si>
  <si>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</si>
  <si>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</si>
  <si>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</si>
  <si>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</si>
  <si>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</si>
  <si>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TPC-TC(C0)-CD-22-0521</t>
  </si>
  <si>
    <t>IFA</t>
  </si>
  <si>
    <t>2022/07/16</t>
  </si>
  <si>
    <t>2022/06/16</t>
  </si>
  <si>
    <t>XF71C-3100-501</t>
  </si>
  <si>
    <t>LUBE OIL STORAGE WAREHOUSE (BLD-3105) HVAC EQUIPMENT SCHEDULE &amp; AIR FLOW DIAGRAM</t>
  </si>
  <si>
    <t>A</t>
  </si>
  <si>
    <t>Lube Oil Storage Warehouse (BLD-3105) - HVAC System_RA</t>
  </si>
  <si>
    <t>TC0-1-UZC02-D6801</t>
  </si>
  <si>
    <t>陳博仁  Ext.:23341</t>
  </si>
  <si>
    <t>CB-0281</t>
  </si>
  <si>
    <t>XF71C-3100-521</t>
  </si>
  <si>
    <t>LUBE OIL STORAGE WAREHOUSE (BLD-3105) HVAC EQUIPMENT, AIR DUCT, CONTROL CABLE LAYOUT-1</t>
  </si>
  <si>
    <t>TC0-1-UZC02-D6821</t>
  </si>
  <si>
    <t>XF71C-3100-522</t>
  </si>
  <si>
    <t>LUBE OIL STORAGE WAREHOUSE (BLD-3105) HVAC EQUIPMENT, AIR DUCT, CONTROL CABLE LAYOUT-2</t>
  </si>
  <si>
    <t>TC0-1-UZC02-D6822</t>
  </si>
  <si>
    <t>XF71C-3100-581</t>
  </si>
  <si>
    <t>LUBE OIL STORAGE WAREHOUSE (BLD-3105) HVAC EQUIPMENT CONTROL FLOW AND WIRE DIAGRAM</t>
  </si>
  <si>
    <t>TC0-1-UZC02-D6881</t>
  </si>
  <si>
    <t>XF71C-3100-582</t>
  </si>
  <si>
    <t>LUBE OIL STORAGE WAREHOUSE (BLD-3105) HVAC CONTROL SYSTEM I/O LIST</t>
  </si>
  <si>
    <t>TC0-1-UZC02-D6882</t>
  </si>
  <si>
    <t>XF72-3100-501C</t>
  </si>
  <si>
    <t>LUBE OIL STORAGE WAREHOUSE (BLD-3105) HVAC SYSTEM CALCULATION SHEET</t>
  </si>
  <si>
    <t>TC0-1-UZC02-C6801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</si>
</sst>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52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Lube%20Oil%20Storage%20Warehouse%20(BLD-3105)%20-%20HVAC%20System_R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95</v>
      </c>
      <c r="J1" s="26" t="s">
        <v>8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105</v>
      </c>
      <c r="N2" s="29"/>
      <c r="O2" s="31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110</v>
      </c>
      <c r="F3" s="28" t="s">
        <v>111</v>
      </c>
      <c r="G3" s="27" t="s">
        <v>105</v>
      </c>
      <c r="H3" s="27" t="s">
        <v>105</v>
      </c>
      <c r="I3" s="28" t="s">
        <v>106</v>
      </c>
      <c r="J3" s="27" t="s">
        <v>112</v>
      </c>
      <c r="K3" s="27" t="s">
        <v>108</v>
      </c>
      <c r="L3" s="27" t="s">
        <v>109</v>
      </c>
      <c r="M3" s="28" t="s">
        <v>105</v>
      </c>
      <c r="N3" s="29"/>
      <c r="O3" s="31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113</v>
      </c>
      <c r="F4" s="28" t="s">
        <v>114</v>
      </c>
      <c r="G4" s="27" t="s">
        <v>105</v>
      </c>
      <c r="H4" s="27" t="s">
        <v>105</v>
      </c>
      <c r="I4" s="28" t="s">
        <v>106</v>
      </c>
      <c r="J4" s="27" t="s">
        <v>115</v>
      </c>
      <c r="K4" s="27" t="s">
        <v>108</v>
      </c>
      <c r="L4" s="27" t="s">
        <v>109</v>
      </c>
      <c r="M4" s="28" t="s">
        <v>105</v>
      </c>
      <c r="N4" s="29"/>
      <c r="O4" s="31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116</v>
      </c>
      <c r="F5" s="28" t="s">
        <v>117</v>
      </c>
      <c r="G5" s="27" t="s">
        <v>105</v>
      </c>
      <c r="H5" s="27" t="s">
        <v>105</v>
      </c>
      <c r="I5" s="28" t="s">
        <v>106</v>
      </c>
      <c r="J5" s="27" t="s">
        <v>118</v>
      </c>
      <c r="K5" s="27" t="s">
        <v>108</v>
      </c>
      <c r="L5" s="27" t="s">
        <v>109</v>
      </c>
      <c r="M5" s="28" t="s">
        <v>105</v>
      </c>
      <c r="N5" s="29"/>
      <c r="O5" s="31"/>
      <c r="P5" s="29"/>
      <c r="Q5" s="29"/>
    </row>
    <row r="6" spans="1:17" s="13" customFormat="1">
      <c r="A6" s="27" t="s">
        <v>99</v>
      </c>
      <c r="B6" s="27" t="s">
        <v>100</v>
      </c>
      <c r="C6" s="27" t="s">
        <v>101</v>
      </c>
      <c r="D6" s="27" t="s">
        <v>102</v>
      </c>
      <c r="E6" s="27" t="s">
        <v>119</v>
      </c>
      <c r="F6" s="28" t="s">
        <v>120</v>
      </c>
      <c r="G6" s="27" t="s">
        <v>105</v>
      </c>
      <c r="H6" s="27" t="s">
        <v>105</v>
      </c>
      <c r="I6" s="28" t="s">
        <v>106</v>
      </c>
      <c r="J6" s="27" t="s">
        <v>121</v>
      </c>
      <c r="K6" s="27" t="s">
        <v>108</v>
      </c>
      <c r="L6" s="27" t="s">
        <v>109</v>
      </c>
      <c r="M6" s="28" t="s">
        <v>105</v>
      </c>
      <c r="N6" s="29"/>
      <c r="O6" s="31"/>
      <c r="P6" s="29"/>
      <c r="Q6" s="29"/>
    </row>
    <row r="7" spans="1:17" s="13" customFormat="1">
      <c r="A7" s="27" t="s">
        <v>99</v>
      </c>
      <c r="B7" s="27" t="s">
        <v>100</v>
      </c>
      <c r="C7" s="27" t="s">
        <v>101</v>
      </c>
      <c r="D7" s="27" t="s">
        <v>102</v>
      </c>
      <c r="E7" s="27" t="s">
        <v>122</v>
      </c>
      <c r="F7" s="28" t="s">
        <v>123</v>
      </c>
      <c r="G7" s="27" t="s">
        <v>105</v>
      </c>
      <c r="H7" s="27" t="s">
        <v>105</v>
      </c>
      <c r="I7" s="28" t="s">
        <v>106</v>
      </c>
      <c r="J7" s="27" t="s">
        <v>124</v>
      </c>
      <c r="K7" s="27" t="s">
        <v>108</v>
      </c>
      <c r="L7" s="27" t="s">
        <v>109</v>
      </c>
      <c r="M7" s="28" t="s">
        <v>105</v>
      </c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D62" sqref="D62:AB6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2022/06/16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TPC-TC(C0)-CD-22-0521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84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Lube Oil Storage Warehouse (BLD-3105) - HVAC System_RA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81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80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60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41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75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85</v>
      </c>
      <c r="B36" s="53"/>
      <c r="C36" s="53"/>
      <c r="D36" s="99" t="str">
        <f>Data1!K2</f>
        <v>陳博仁  Ext.:23341</v>
      </c>
      <c r="E36" s="53"/>
      <c r="F36" s="53"/>
      <c r="G36" s="53"/>
      <c r="H36" s="101" t="str">
        <f>Data1!L2</f>
        <v>CB-0281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82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83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80</v>
      </c>
      <c r="C47" s="58" t="s">
        <v>88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80</v>
      </c>
      <c r="D48" s="151" t="s">
        <v>61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62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80</v>
      </c>
      <c r="C51" s="55" t="s">
        <v>89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80</v>
      </c>
      <c r="D52" s="151" t="s">
        <v>63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62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80</v>
      </c>
      <c r="C54" s="58" t="s">
        <v>86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80</v>
      </c>
      <c r="D55" s="148" t="s">
        <v>64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62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56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41</v>
      </c>
      <c r="D58" s="150" t="s">
        <v>72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65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92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66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67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68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90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69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70</v>
      </c>
      <c r="C66" s="151" t="s">
        <v>91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73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70</v>
      </c>
      <c r="C68" s="148" t="s">
        <v>87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74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93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71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76</v>
      </c>
      <c r="B1" s="77" t="s">
        <v>77</v>
      </c>
    </row>
    <row r="2" spans="1:2">
      <c r="A2" s="77" t="s">
        <v>78</v>
      </c>
      <c r="B2" s="77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zoomScale="40" zoomScaleNormal="40" zoomScaleSheetLayoutView="40" zoomScalePageLayoutView="40" workbookViewId="0">
      <selection activeCell="X22" sqref="X22:Z2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2022/06/16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TPC-TC(C0)-CD-22-0521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75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107</v>
      </c>
      <c r="B10" s="158"/>
      <c r="C10" s="158"/>
      <c r="D10" s="158"/>
      <c r="E10" s="158"/>
      <c r="F10" s="159"/>
      <c r="G10" s="102" t="s">
        <v>105</v>
      </c>
      <c r="H10" s="160" t="s">
        <v>104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105</v>
      </c>
      <c r="X10" s="160" t="s">
        <v>103</v>
      </c>
      <c r="Y10" s="161"/>
      <c r="Z10" s="162"/>
      <c r="AA10" s="104"/>
      <c r="AB10" s="104"/>
    </row>
    <row r="11" spans="1:28" s="36" customFormat="1" ht="120" customHeight="1">
      <c r="A11" s="157" t="s">
        <v>112</v>
      </c>
      <c r="B11" s="158"/>
      <c r="C11" s="158"/>
      <c r="D11" s="158"/>
      <c r="E11" s="158"/>
      <c r="F11" s="159"/>
      <c r="G11" s="102" t="s">
        <v>105</v>
      </c>
      <c r="H11" s="160" t="s">
        <v>111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105</v>
      </c>
      <c r="X11" s="160" t="s">
        <v>110</v>
      </c>
      <c r="Y11" s="161"/>
      <c r="Z11" s="162"/>
      <c r="AA11" s="104"/>
      <c r="AB11" s="104"/>
    </row>
    <row r="12" spans="1:28" s="36" customFormat="1" ht="120" customHeight="1">
      <c r="A12" s="157" t="s">
        <v>115</v>
      </c>
      <c r="B12" s="158"/>
      <c r="C12" s="158"/>
      <c r="D12" s="158"/>
      <c r="E12" s="158"/>
      <c r="F12" s="159"/>
      <c r="G12" s="102" t="s">
        <v>105</v>
      </c>
      <c r="H12" s="160" t="s">
        <v>114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105</v>
      </c>
      <c r="X12" s="160" t="s">
        <v>113</v>
      </c>
      <c r="Y12" s="161"/>
      <c r="Z12" s="162"/>
      <c r="AA12" s="104"/>
      <c r="AB12" s="104"/>
    </row>
    <row r="13" spans="1:28" s="36" customFormat="1" ht="120" customHeight="1">
      <c r="A13" s="157" t="s">
        <v>118</v>
      </c>
      <c r="B13" s="158"/>
      <c r="C13" s="158"/>
      <c r="D13" s="158"/>
      <c r="E13" s="158"/>
      <c r="F13" s="159"/>
      <c r="G13" s="102" t="s">
        <v>105</v>
      </c>
      <c r="H13" s="160" t="s">
        <v>117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105</v>
      </c>
      <c r="X13" s="160" t="s">
        <v>116</v>
      </c>
      <c r="Y13" s="161"/>
      <c r="Z13" s="162"/>
      <c r="AA13" s="104"/>
      <c r="AB13" s="104"/>
    </row>
    <row r="14" spans="1:28" s="36" customFormat="1" ht="120" customHeight="1">
      <c r="A14" s="157" t="s">
        <v>121</v>
      </c>
      <c r="B14" s="158"/>
      <c r="C14" s="158"/>
      <c r="D14" s="158"/>
      <c r="E14" s="158"/>
      <c r="F14" s="159"/>
      <c r="G14" s="102" t="s">
        <v>105</v>
      </c>
      <c r="H14" s="160" t="s">
        <v>120</v>
      </c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2"/>
      <c r="W14" s="103" t="s">
        <v>105</v>
      </c>
      <c r="X14" s="160" t="s">
        <v>119</v>
      </c>
      <c r="Y14" s="161"/>
      <c r="Z14" s="162"/>
      <c r="AA14" s="104"/>
      <c r="AB14" s="104"/>
    </row>
    <row r="15" spans="1:28" s="36" customFormat="1" ht="120" customHeight="1">
      <c r="A15" s="157" t="s">
        <v>124</v>
      </c>
      <c r="B15" s="158"/>
      <c r="C15" s="158"/>
      <c r="D15" s="158"/>
      <c r="E15" s="158"/>
      <c r="F15" s="159"/>
      <c r="G15" s="102" t="s">
        <v>105</v>
      </c>
      <c r="H15" s="160" t="s">
        <v>123</v>
      </c>
      <c r="I15" s="161"/>
      <c r="J15" s="161"/>
      <c r="K15" s="161"/>
      <c r="L15" s="161"/>
      <c r="M15" s="161"/>
      <c r="N15" s="161"/>
      <c r="O15" s="161"/>
      <c r="P15" s="161"/>
      <c r="Q15" s="161"/>
      <c r="R15" s="161"/>
      <c r="S15" s="161"/>
      <c r="T15" s="161"/>
      <c r="U15" s="161"/>
      <c r="V15" s="162"/>
      <c r="W15" s="103" t="s">
        <v>105</v>
      </c>
      <c r="X15" s="160" t="s">
        <v>122</v>
      </c>
      <c r="Y15" s="161"/>
      <c r="Z15" s="162"/>
      <c r="AA15" s="104"/>
      <c r="AB15" s="104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94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2022-06-16T00:37:41Z</cp:lastPrinted>
  <dcterms:created xsi:type="dcterms:W3CDTF">2008-09-29T00:47:34Z</dcterms:created>
  <dcterms:modified xsi:type="dcterms:W3CDTF">2022-06-16T00:37:49Z</dcterms:modified>
</cp:coreProperties>
</file>