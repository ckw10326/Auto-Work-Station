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<sst xmlns="http://schemas.openxmlformats.org/spreadsheetml/2006/main" count="482" uniqueCount="169">
  <si>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</si>
  <si>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</si>
  <si>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</si>
  <si>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</si>
  <si>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</si>
  <si>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</si>
  <si>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</si>
  <si>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</si>
  <si>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</si>
  <si>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</si>
  <si>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</si>
  <si>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</si>
  <si>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</si>
  <si>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</si>
  <si>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</si>
  <si>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</si>
  <si>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</si>
  <si>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</si>
  <si>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</si>
  <si>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</si>
  <si>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</si>
  <si>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</si>
  <si>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</si>
  <si>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</si>
  <si>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</si>
  <si>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</si>
  <si>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</si>
  <si>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</si>
  <si>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</si>
  <si>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</si>
  <si>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</si>
  <si>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</si>
  <si>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</si>
  <si>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</si>
  <si>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</si>
  <si>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</si>
  <si>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</si>
  <si>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</si>
  <si>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</si>
  <si>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</si>
  <si>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</si>
  <si>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</si>
  <si>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</si>
  <si>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</si>
  <si>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</si>
  <si>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</si>
  <si>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</si>
  <si>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</si>
  <si>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</si>
  <si>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</si>
  <si>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</si>
  <si>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</si>
  <si>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</si>
  <si>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</si>
  <si>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</si>
  <si>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</si>
  <si>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</si>
  <si>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</si>
  <si>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</si>
  <si>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</si>
  <si>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</si>
  <si>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</si>
  <si>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</si>
  <si>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</si>
  <si>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</si>
  <si>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</si>
  <si>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</si>
  <si>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</si>
  <si>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</si>
  <si>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</si>
  <si>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</si>
  <si>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</si>
  <si>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</si>
  <si>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</si>
  <si>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</si>
  <si>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</si>
  <si>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</si>
  <si>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</si>
  <si>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</si>
  <si>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</si>
  <si>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</si>
  <si>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</si>
  <si>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</si>
  <si>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</si>
  <si>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</si>
  <si>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</si>
  <si>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</si>
  <si>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</si>
  <si>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</si>
  <si>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</si>
  <si>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</si>
  <si>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</si>
  <si>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</si>
  <si>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</si>
  <si>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</si>
  <si>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</si>
  <si>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</si>
  <si>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</si>
  <si>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TPC-TC(C0)-CD-22-0040</t>
  </si>
  <si>
    <t>IFA</t>
  </si>
  <si>
    <t>2022/02/12</t>
  </si>
  <si>
    <t>2022/01/12</t>
  </si>
  <si>
    <t>XF37B-1300-032</t>
  </si>
  <si>
    <t>UNIT CC#1 STG PEDESTAL FOUNDATION PLAN</t>
  </si>
  <si>
    <t>A</t>
  </si>
  <si>
    <t>Unit CC#1 STG Pedestal - Foundation Plan_RA</t>
  </si>
  <si>
    <t>TC1-1-CTC02-D1332</t>
  </si>
  <si>
    <t>陳博仁  Ext.:23341</t>
  </si>
  <si>
    <t>CB-0118</t>
  </si>
  <si>
    <t>XF37B-1300-032C</t>
  </si>
  <si>
    <t>CALCULATION SHEET FOR UNIT CC#1 STG PEDESTAL FOUNDATION</t>
  </si>
  <si>
    <t>TC1-1-CTC02-C1332</t>
  </si>
  <si>
    <t>XF37B-1300-033</t>
  </si>
  <si>
    <t>UNIT CC#1 STG PEDESTAL TABLETOP PLAN</t>
  </si>
  <si>
    <t>TC1-1-CTC02-D1333</t>
  </si>
  <si>
    <t>XF37B-1300-034</t>
  </si>
  <si>
    <t>UNIT CC#1 STG PEDESTAL FOUNDATION ELEVATION AND SECTION (1)</t>
  </si>
  <si>
    <t>TC1-1-CTC02-D1334</t>
  </si>
  <si>
    <t>XF37B-1300-035</t>
  </si>
  <si>
    <t>UNIT CC#1 STG PEDESTAL FOUNDATION ELEVATION AND SECTION (2)</t>
  </si>
  <si>
    <t>TC1-1-CTC02-D1335</t>
  </si>
  <si>
    <t>XF37B-1300-036</t>
  </si>
  <si>
    <t>UNIT CC#1 STG PEDESTAL FOUNDATION ELEVATION AND SECTION (3)</t>
  </si>
  <si>
    <t>TC1-1-CTC02-D1336</t>
  </si>
  <si>
    <t>XF37B-1300-037</t>
  </si>
  <si>
    <t>UNIT CC#1 STG PEDESTAL FOUNDATION REINFORCEMENT - COLUMN AND SUPPORT</t>
  </si>
  <si>
    <t>TC1-1-CTC02-D1337</t>
  </si>
  <si>
    <t>XF37B-1300-038</t>
  </si>
  <si>
    <t>UNIT CC#1 STG PEDESTAL FOUNDATION REINFORCEMENT - SECTION AND DETAIL (1)</t>
  </si>
  <si>
    <t>TC1-1-CTC02-D1338</t>
  </si>
  <si>
    <t>XF37B-1300-039</t>
  </si>
  <si>
    <t>UNIT CC#1 STG PEDESTAL FOUNDATION REINFORCEMENT - SECTION AND DETAIL (2)</t>
  </si>
  <si>
    <t>TC1-1-CTC02-D1339</t>
  </si>
  <si>
    <t>XF37B-1300-040</t>
  </si>
  <si>
    <t>UNIT CC#1 STG PEDESTAL FOUNDATION REINFORCEMENT - SECTION AND DETAIL (3)</t>
  </si>
  <si>
    <t>TC1-1-CTC02-D1340</t>
  </si>
  <si>
    <t>XF37B-1300-041</t>
  </si>
  <si>
    <t>UNIT CC#1 STG PEDESTAL FOUNDATION REINFORCEMENT - SECTION AND DETAIL (4)</t>
  </si>
  <si>
    <t>TC1-1-CTC02-D1341</t>
  </si>
  <si>
    <t>XF37B-1300-042</t>
  </si>
  <si>
    <t>UNIT CC#1 STG PEDESTAL FOUNDATION REINFORCEMENT - SECTION AND DETAIL (5)</t>
  </si>
  <si>
    <t>TC1-1-CTC02-D1342</t>
  </si>
  <si>
    <t>XF37B-1300-043</t>
  </si>
  <si>
    <t>UNIT CC#1 STG PEDESTAL FOUNDATION REINFORCEMENT - SECTION AND DETAIL (6)</t>
  </si>
  <si>
    <t>TC1-1-CTC02-D1343</t>
  </si>
  <si>
    <t>XF37B-1300-044</t>
  </si>
  <si>
    <t>UNIT CC#1 STG PEDESTAL FOUNDATION REINFORCEMENT - SECTION AND DETAIL (7)</t>
  </si>
  <si>
    <t>TC1-1-CTC02-D1344</t>
  </si>
  <si>
    <t>XF37B-1300-045</t>
  </si>
  <si>
    <t>UNIT CC#1 STG PEDESTAL FOUNDATION REINFORCEMENT - SECTION AND DETAIL (8)</t>
  </si>
  <si>
    <t>TC1-1-CTC02-D1345</t>
  </si>
  <si>
    <t>XF37B-1300-046</t>
  </si>
  <si>
    <t>UNIT CC#1 STG PEDESTAL FOUNDATION REINFORCEMENT - SECTION AND DETAIL (9)</t>
  </si>
  <si>
    <t>TC1-1-CTC02-D1346</t>
  </si>
  <si>
    <t>XF37B-1300-047</t>
  </si>
  <si>
    <t>UNIT CC#1 STG PEDESTAL FOUNDATION SECTION &amp; DETAIL</t>
  </si>
  <si>
    <t>TC1-1-CTC02-D1347</t>
  </si>
  <si>
    <t>XF37B-1300-048</t>
  </si>
  <si>
    <t>UNIT CC#1 STG PEDESTAL FOUNDATION REINFORCEMENT - SLAB (1)</t>
  </si>
  <si>
    <t>TC1-1-CTC02-D1348</t>
  </si>
  <si>
    <t>XF37B-1300-049</t>
  </si>
  <si>
    <t>UNIT CC#1 STG PEDESTAL FOUNDATION REINFORCEMENT - SLAB (2)</t>
  </si>
  <si>
    <t>TC1-1-CTC02-D1349</t>
  </si>
  <si>
    <t>XF37B-1300-050</t>
  </si>
  <si>
    <t>UNIT CC#1 STG PEDESTAL FOUNDATION REINFORCEMENT - SECTION FOR ANCHORING (1)</t>
  </si>
  <si>
    <t>TC1-1-CTC02-D1350</t>
  </si>
  <si>
    <t>XF37B-1300-051</t>
  </si>
  <si>
    <t>UNIT CC#1 STG PEDESTAL FOUNDATION REINFORCEMENT - SECTION FOR ANCHORING (2)</t>
  </si>
  <si>
    <t>TC1-1-CTC02-D1351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</si>
</sst>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nit%20CC#1 STG Pedestal - Foundation 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 t="s">
        <v>98</v>
      </c>
      <c r="B10" s="77" t="s">
        <v>99</v>
      </c>
      <c r="C10" s="77" t="s">
        <v>100</v>
      </c>
      <c r="D10" s="77" t="s">
        <v>101</v>
      </c>
      <c r="E10" s="77" t="s">
        <v>130</v>
      </c>
      <c r="F10" s="77" t="s">
        <v>131</v>
      </c>
      <c r="G10" s="77" t="s">
        <v>104</v>
      </c>
      <c r="H10" s="77" t="s">
        <v>104</v>
      </c>
      <c r="I10" s="77" t="s">
        <v>105</v>
      </c>
      <c r="J10" s="77" t="s">
        <v>132</v>
      </c>
      <c r="K10" s="77" t="s">
        <v>107</v>
      </c>
      <c r="L10" s="77" t="s">
        <v>108</v>
      </c>
    </row>
    <row r="11" spans="1:17">
      <c r="A11" s="77" t="s">
        <v>98</v>
      </c>
      <c r="B11" s="77" t="s">
        <v>99</v>
      </c>
      <c r="C11" s="77" t="s">
        <v>100</v>
      </c>
      <c r="D11" s="77" t="s">
        <v>101</v>
      </c>
      <c r="E11" s="77" t="s">
        <v>133</v>
      </c>
      <c r="F11" s="77" t="s">
        <v>134</v>
      </c>
      <c r="G11" s="77" t="s">
        <v>104</v>
      </c>
      <c r="H11" s="77" t="s">
        <v>104</v>
      </c>
      <c r="I11" s="77" t="s">
        <v>105</v>
      </c>
      <c r="J11" s="77" t="s">
        <v>135</v>
      </c>
      <c r="K11" s="77" t="s">
        <v>107</v>
      </c>
      <c r="L11" s="77" t="s">
        <v>108</v>
      </c>
    </row>
    <row r="12" spans="1:17">
      <c r="A12" s="77" t="s">
        <v>98</v>
      </c>
      <c r="B12" s="77" t="s">
        <v>99</v>
      </c>
      <c r="C12" s="77" t="s">
        <v>100</v>
      </c>
      <c r="D12" s="77" t="s">
        <v>101</v>
      </c>
      <c r="E12" s="77" t="s">
        <v>136</v>
      </c>
      <c r="F12" s="77" t="s">
        <v>137</v>
      </c>
      <c r="G12" s="77" t="s">
        <v>104</v>
      </c>
      <c r="H12" s="77" t="s">
        <v>104</v>
      </c>
      <c r="I12" s="77" t="s">
        <v>105</v>
      </c>
      <c r="J12" s="77" t="s">
        <v>138</v>
      </c>
      <c r="K12" s="77" t="s">
        <v>107</v>
      </c>
      <c r="L12" s="77" t="s">
        <v>108</v>
      </c>
    </row>
    <row r="13" spans="1:17">
      <c r="A13" s="77" t="s">
        <v>98</v>
      </c>
      <c r="B13" s="77" t="s">
        <v>99</v>
      </c>
      <c r="C13" s="77" t="s">
        <v>100</v>
      </c>
      <c r="D13" s="77" t="s">
        <v>101</v>
      </c>
      <c r="E13" s="77" t="s">
        <v>139</v>
      </c>
      <c r="F13" s="77" t="s">
        <v>140</v>
      </c>
      <c r="G13" s="77" t="s">
        <v>104</v>
      </c>
      <c r="H13" s="77" t="s">
        <v>104</v>
      </c>
      <c r="I13" s="77" t="s">
        <v>105</v>
      </c>
      <c r="J13" s="77" t="s">
        <v>141</v>
      </c>
      <c r="K13" s="77" t="s">
        <v>107</v>
      </c>
      <c r="L13" s="77" t="s">
        <v>108</v>
      </c>
    </row>
    <row r="14" spans="1:17">
      <c r="A14" s="77" t="s">
        <v>98</v>
      </c>
      <c r="B14" s="77" t="s">
        <v>99</v>
      </c>
      <c r="C14" s="77" t="s">
        <v>100</v>
      </c>
      <c r="D14" s="77" t="s">
        <v>101</v>
      </c>
      <c r="E14" s="77" t="s">
        <v>142</v>
      </c>
      <c r="F14" s="77" t="s">
        <v>143</v>
      </c>
      <c r="G14" s="77" t="s">
        <v>104</v>
      </c>
      <c r="H14" s="77" t="s">
        <v>104</v>
      </c>
      <c r="I14" s="77" t="s">
        <v>105</v>
      </c>
      <c r="J14" s="77" t="s">
        <v>144</v>
      </c>
      <c r="K14" s="77" t="s">
        <v>107</v>
      </c>
      <c r="L14" s="77" t="s">
        <v>108</v>
      </c>
    </row>
    <row r="15" spans="1:17">
      <c r="A15" s="77" t="s">
        <v>98</v>
      </c>
      <c r="B15" s="77" t="s">
        <v>99</v>
      </c>
      <c r="C15" s="77" t="s">
        <v>100</v>
      </c>
      <c r="D15" s="77" t="s">
        <v>101</v>
      </c>
      <c r="E15" s="77" t="s">
        <v>145</v>
      </c>
      <c r="F15" s="77" t="s">
        <v>146</v>
      </c>
      <c r="G15" s="77" t="s">
        <v>104</v>
      </c>
      <c r="H15" s="77" t="s">
        <v>104</v>
      </c>
      <c r="I15" s="77" t="s">
        <v>105</v>
      </c>
      <c r="J15" s="77" t="s">
        <v>147</v>
      </c>
      <c r="K15" s="77" t="s">
        <v>107</v>
      </c>
      <c r="L15" s="77" t="s">
        <v>108</v>
      </c>
    </row>
    <row r="16" spans="1:17">
      <c r="A16" s="77" t="s">
        <v>98</v>
      </c>
      <c r="B16" s="77" t="s">
        <v>99</v>
      </c>
      <c r="C16" s="77" t="s">
        <v>100</v>
      </c>
      <c r="D16" s="77" t="s">
        <v>101</v>
      </c>
      <c r="E16" s="77" t="s">
        <v>148</v>
      </c>
      <c r="F16" s="77" t="s">
        <v>149</v>
      </c>
      <c r="G16" s="77" t="s">
        <v>104</v>
      </c>
      <c r="H16" s="77" t="s">
        <v>104</v>
      </c>
      <c r="I16" s="77" t="s">
        <v>105</v>
      </c>
      <c r="J16" s="77" t="s">
        <v>150</v>
      </c>
      <c r="K16" s="77" t="s">
        <v>107</v>
      </c>
      <c r="L16" s="77" t="s">
        <v>108</v>
      </c>
    </row>
    <row r="17" spans="1:12">
      <c r="A17" s="77" t="s">
        <v>98</v>
      </c>
      <c r="B17" s="77" t="s">
        <v>99</v>
      </c>
      <c r="C17" s="77" t="s">
        <v>100</v>
      </c>
      <c r="D17" s="77" t="s">
        <v>101</v>
      </c>
      <c r="E17" s="77" t="s">
        <v>151</v>
      </c>
      <c r="F17" s="77" t="s">
        <v>152</v>
      </c>
      <c r="G17" s="77" t="s">
        <v>104</v>
      </c>
      <c r="H17" s="77" t="s">
        <v>104</v>
      </c>
      <c r="I17" s="77" t="s">
        <v>105</v>
      </c>
      <c r="J17" s="77" t="s">
        <v>153</v>
      </c>
      <c r="K17" s="77" t="s">
        <v>107</v>
      </c>
      <c r="L17" s="77" t="s">
        <v>108</v>
      </c>
    </row>
    <row r="18" spans="1:12">
      <c r="A18" s="77" t="s">
        <v>98</v>
      </c>
      <c r="B18" s="77" t="s">
        <v>99</v>
      </c>
      <c r="C18" s="77" t="s">
        <v>100</v>
      </c>
      <c r="D18" s="77" t="s">
        <v>101</v>
      </c>
      <c r="E18" s="77" t="s">
        <v>154</v>
      </c>
      <c r="F18" s="77" t="s">
        <v>155</v>
      </c>
      <c r="G18" s="77" t="s">
        <v>104</v>
      </c>
      <c r="H18" s="77" t="s">
        <v>104</v>
      </c>
      <c r="I18" s="77" t="s">
        <v>105</v>
      </c>
      <c r="J18" s="77" t="s">
        <v>156</v>
      </c>
      <c r="K18" s="77" t="s">
        <v>107</v>
      </c>
      <c r="L18" s="77" t="s">
        <v>108</v>
      </c>
    </row>
    <row r="19" spans="1:12">
      <c r="A19" s="77" t="s">
        <v>98</v>
      </c>
      <c r="B19" s="77" t="s">
        <v>99</v>
      </c>
      <c r="C19" s="77" t="s">
        <v>100</v>
      </c>
      <c r="D19" s="77" t="s">
        <v>101</v>
      </c>
      <c r="E19" s="77" t="s">
        <v>157</v>
      </c>
      <c r="F19" s="77" t="s">
        <v>158</v>
      </c>
      <c r="G19" s="77" t="s">
        <v>104</v>
      </c>
      <c r="H19" s="77" t="s">
        <v>104</v>
      </c>
      <c r="I19" s="77" t="s">
        <v>105</v>
      </c>
      <c r="J19" s="77" t="s">
        <v>159</v>
      </c>
      <c r="K19" s="77" t="s">
        <v>107</v>
      </c>
      <c r="L19" s="77" t="s">
        <v>108</v>
      </c>
    </row>
    <row r="20" spans="1:12">
      <c r="A20" s="77" t="s">
        <v>98</v>
      </c>
      <c r="B20" s="77" t="s">
        <v>99</v>
      </c>
      <c r="C20" s="77" t="s">
        <v>100</v>
      </c>
      <c r="D20" s="77" t="s">
        <v>101</v>
      </c>
      <c r="E20" s="77" t="s">
        <v>160</v>
      </c>
      <c r="F20" s="77" t="s">
        <v>161</v>
      </c>
      <c r="G20" s="77" t="s">
        <v>104</v>
      </c>
      <c r="H20" s="77" t="s">
        <v>104</v>
      </c>
      <c r="I20" s="77" t="s">
        <v>105</v>
      </c>
      <c r="J20" s="77" t="s">
        <v>162</v>
      </c>
      <c r="K20" s="77" t="s">
        <v>107</v>
      </c>
      <c r="L20" s="77" t="s">
        <v>108</v>
      </c>
    </row>
    <row r="21" spans="1:12">
      <c r="A21" s="77" t="s">
        <v>98</v>
      </c>
      <c r="B21" s="77" t="s">
        <v>99</v>
      </c>
      <c r="C21" s="77" t="s">
        <v>100</v>
      </c>
      <c r="D21" s="77" t="s">
        <v>101</v>
      </c>
      <c r="E21" s="77" t="s">
        <v>163</v>
      </c>
      <c r="F21" s="77" t="s">
        <v>164</v>
      </c>
      <c r="G21" s="77" t="s">
        <v>104</v>
      </c>
      <c r="H21" s="77" t="s">
        <v>104</v>
      </c>
      <c r="I21" s="77" t="s">
        <v>105</v>
      </c>
      <c r="J21" s="77" t="s">
        <v>165</v>
      </c>
      <c r="K21" s="77" t="s">
        <v>107</v>
      </c>
      <c r="L21" s="77" t="s">
        <v>108</v>
      </c>
    </row>
    <row r="22" spans="1:12">
      <c r="A22" s="77" t="s">
        <v>98</v>
      </c>
      <c r="B22" s="77" t="s">
        <v>99</v>
      </c>
      <c r="C22" s="77" t="s">
        <v>100</v>
      </c>
      <c r="D22" s="77" t="s">
        <v>101</v>
      </c>
      <c r="E22" s="77" t="s">
        <v>166</v>
      </c>
      <c r="F22" s="77" t="s">
        <v>167</v>
      </c>
      <c r="G22" s="77" t="s">
        <v>104</v>
      </c>
      <c r="H22" s="77" t="s">
        <v>104</v>
      </c>
      <c r="I22" s="77" t="s">
        <v>105</v>
      </c>
      <c r="J22" s="77" t="s">
        <v>168</v>
      </c>
      <c r="K22" s="77" t="s">
        <v>107</v>
      </c>
      <c r="L22" s="77" t="s">
        <v>108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7"/>
      <c r="Y5" s="109"/>
      <c r="Z5" s="110"/>
      <c r="AA5" s="11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5"/>
      <c r="Y6" s="116"/>
      <c r="Z6" s="116"/>
      <c r="AA6" s="116"/>
      <c r="AB6" s="116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1" t="s">
        <v>30</v>
      </c>
      <c r="W7" s="91"/>
      <c r="X7" s="122" t="str">
        <f>Data1!D2</f>
        <v>2022/01/12</v>
      </c>
      <c r="Y7" s="123"/>
      <c r="Z7" s="123"/>
      <c r="AA7" s="94"/>
      <c r="AB7" s="88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2" t="s">
        <v>31</v>
      </c>
      <c r="W8" s="92"/>
      <c r="X8" s="124" t="str">
        <f>Data1!A2</f>
        <v>TPC-TC(C0)-CD-22-0040</v>
      </c>
      <c r="Y8" s="116"/>
      <c r="Z8" s="116"/>
      <c r="AA8" s="95"/>
      <c r="AB8" s="95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19" t="s">
        <v>85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6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6" customFormat="1" ht="82.5" customHeight="1">
      <c r="A18" s="70" t="s">
        <v>38</v>
      </c>
      <c r="B18" s="117" t="str">
        <f>Data1!I2</f>
        <v>Unit CC#1 STG Pedestal - Foundation Plan_RA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2" t="s">
        <v>82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6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6" customFormat="1" ht="39.75" customHeight="1">
      <c r="A24" s="42"/>
      <c r="B24" s="46" t="s">
        <v>81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6" customFormat="1" ht="39.75" customHeight="1">
      <c r="A25" s="42"/>
      <c r="B25" s="46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2"/>
      <c r="Y29" s="43"/>
      <c r="Z29" s="43"/>
      <c r="AA29" s="44"/>
      <c r="AB29" s="43"/>
    </row>
    <row r="30" spans="1:28" s="36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6" customFormat="1" ht="39.75" customHeight="1">
      <c r="A31" s="128" t="s">
        <v>45</v>
      </c>
      <c r="B31" s="129"/>
      <c r="C31" s="129"/>
      <c r="D31" s="129"/>
      <c r="E31" s="129"/>
      <c r="F31" s="130"/>
      <c r="G31" s="48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9" t="s">
        <v>48</v>
      </c>
      <c r="X31" s="131" t="s">
        <v>49</v>
      </c>
      <c r="Y31" s="134"/>
      <c r="Z31" s="135"/>
    </row>
    <row r="32" spans="1:28" s="36" customFormat="1" ht="39.75" customHeight="1">
      <c r="A32" s="136"/>
      <c r="B32" s="137"/>
      <c r="C32" s="137"/>
      <c r="D32" s="137"/>
      <c r="E32" s="137"/>
      <c r="F32" s="138"/>
      <c r="G32" s="50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1"/>
      <c r="X32" s="139"/>
      <c r="Y32" s="141"/>
      <c r="Z32" s="142"/>
    </row>
    <row r="33" spans="1:28" s="36" customFormat="1" ht="39.75" customHeight="1">
      <c r="A33" s="136"/>
      <c r="B33" s="137"/>
      <c r="C33" s="137"/>
      <c r="D33" s="137"/>
      <c r="E33" s="137"/>
      <c r="F33" s="138"/>
      <c r="G33" s="50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1"/>
      <c r="X33" s="139"/>
      <c r="Y33" s="141"/>
      <c r="Z33" s="142"/>
    </row>
    <row r="34" spans="1:28" s="36" customFormat="1" ht="39.75" customHeight="1">
      <c r="A34" s="136"/>
      <c r="B34" s="137"/>
      <c r="C34" s="137"/>
      <c r="D34" s="137"/>
      <c r="E34" s="137"/>
      <c r="F34" s="138"/>
      <c r="G34" s="50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1"/>
      <c r="X34" s="139"/>
      <c r="Y34" s="141"/>
      <c r="Z34" s="14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8" t="str">
        <f>Data1!K2</f>
        <v>陳博仁  Ext.:23341</v>
      </c>
      <c r="E36" s="53"/>
      <c r="F36" s="53"/>
      <c r="G36" s="53"/>
      <c r="H36" s="100" t="str">
        <f>Data1!L2</f>
        <v>CB-0118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54</v>
      </c>
      <c r="W36" s="120"/>
      <c r="X36" s="120"/>
      <c r="Y36" s="120"/>
      <c r="Z36" s="120"/>
      <c r="AA36" s="86"/>
      <c r="AB36" s="52"/>
    </row>
    <row r="37" spans="1:28" s="36" customFormat="1" ht="33.950000000000003" customHeight="1">
      <c r="A37" s="144"/>
      <c r="B37" s="107"/>
      <c r="C37" s="107"/>
      <c r="D37" s="107"/>
      <c r="E37" s="107"/>
      <c r="F37" s="107"/>
      <c r="G37" s="40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7"/>
      <c r="C38" s="107"/>
      <c r="D38" s="107"/>
      <c r="E38" s="107"/>
      <c r="F38" s="107"/>
      <c r="G38" s="40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7"/>
      <c r="C40" s="107"/>
      <c r="D40" s="107"/>
      <c r="E40" s="107"/>
      <c r="F40" s="107"/>
      <c r="G40" s="40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7"/>
      <c r="C41" s="107"/>
      <c r="D41" s="107"/>
      <c r="E41" s="107"/>
      <c r="F41" s="107"/>
      <c r="G41" s="40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5"/>
      <c r="X41" s="75"/>
      <c r="Y41" s="76"/>
      <c r="Z41" s="76"/>
      <c r="AA41" s="81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55</v>
      </c>
      <c r="W42" s="116"/>
      <c r="X42" s="116"/>
      <c r="Y42" s="116"/>
      <c r="Z42" s="116"/>
      <c r="AA42" s="82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2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83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0" t="s">
        <v>84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6" customFormat="1" ht="41.25" customHeight="1">
      <c r="A49" s="58"/>
      <c r="B49" s="59"/>
      <c r="C49" s="62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6" customFormat="1" ht="41.25" customHeight="1">
      <c r="A50" s="58"/>
      <c r="B50" s="59"/>
      <c r="C50" s="59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6" customFormat="1" ht="41.25" customHeight="1">
      <c r="A53" s="58"/>
      <c r="B53" s="59"/>
      <c r="C53" s="65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6" customFormat="1" ht="41.25" customHeight="1">
      <c r="A56" s="58"/>
      <c r="B56" s="59"/>
      <c r="C56" s="65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6" customFormat="1" ht="41.25" customHeight="1">
      <c r="A59" s="58"/>
      <c r="B59" s="59"/>
      <c r="C59" s="65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6" customFormat="1" ht="41.25" customHeight="1">
      <c r="A60" s="58"/>
      <c r="B60" s="64" t="s">
        <v>56</v>
      </c>
      <c r="C60" s="99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6" customFormat="1" ht="41.25" customHeight="1">
      <c r="A62" s="58"/>
      <c r="B62" s="59"/>
      <c r="C62" s="65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0" t="s">
        <v>91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60"/>
    </row>
    <row r="65" spans="1:28" s="36" customFormat="1" ht="41.25" customHeight="1">
      <c r="A65" s="58"/>
      <c r="B65" s="68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60"/>
    </row>
    <row r="66" spans="1:28" s="36" customFormat="1" ht="41.25" customHeight="1">
      <c r="A66" s="58"/>
      <c r="B66" s="69" t="s">
        <v>70</v>
      </c>
      <c r="C66" s="150" t="s">
        <v>92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60"/>
    </row>
    <row r="67" spans="1:28" s="36" customFormat="1" ht="41.25" customHeight="1">
      <c r="A67" s="58"/>
      <c r="B67" s="68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60"/>
    </row>
    <row r="68" spans="1:28" s="36" customFormat="1" ht="41.25" customHeight="1">
      <c r="A68" s="58"/>
      <c r="B68" s="69" t="s">
        <v>70</v>
      </c>
      <c r="C68" s="147" t="s">
        <v>88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60"/>
    </row>
    <row r="69" spans="1:28" s="36" customFormat="1" ht="41.25" customHeight="1">
      <c r="A69" s="58"/>
      <c r="B69" s="68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60"/>
    </row>
    <row r="70" spans="1:28" s="36" customFormat="1" ht="60.75" customHeight="1">
      <c r="A70" s="58"/>
      <c r="B70" s="68" t="s">
        <v>41</v>
      </c>
      <c r="C70" s="155" t="s">
        <v>94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60"/>
    </row>
    <row r="71" spans="1:28" s="36" customFormat="1" ht="41.25" customHeight="1">
      <c r="A71" s="58"/>
      <c r="B71" s="68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60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topLeftCell="A34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6" t="str">
        <f>Data1!D2</f>
        <v>2022/01/12</v>
      </c>
      <c r="Z4" s="167"/>
      <c r="AA4" s="167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8" t="str">
        <f>Data1!A2</f>
        <v>TPC-TC(C0)-CD-22-0040</v>
      </c>
      <c r="Z5" s="169"/>
      <c r="AA5" s="169"/>
      <c r="AB5" s="16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0" t="s">
        <v>75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6" customFormat="1" ht="99.95" customHeight="1">
      <c r="A9" s="173" t="s">
        <v>45</v>
      </c>
      <c r="B9" s="174"/>
      <c r="C9" s="174"/>
      <c r="D9" s="174"/>
      <c r="E9" s="174"/>
      <c r="F9" s="175"/>
      <c r="G9" s="96" t="s">
        <v>46</v>
      </c>
      <c r="H9" s="176" t="s">
        <v>47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7" t="s">
        <v>48</v>
      </c>
      <c r="X9" s="176" t="s">
        <v>49</v>
      </c>
      <c r="Y9" s="179"/>
      <c r="Z9" s="180"/>
    </row>
    <row r="10" spans="1:28" s="36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104</v>
      </c>
      <c r="H10" s="159" t="s">
        <v>103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102</v>
      </c>
      <c r="Y10" s="160"/>
      <c r="Z10" s="161"/>
      <c r="AA10" s="103"/>
      <c r="AB10" s="103"/>
    </row>
    <row r="11" spans="1:28" s="36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104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6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104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6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104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6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104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6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104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6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104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6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104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6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104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6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104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6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104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6" customFormat="1" ht="120" customHeight="1">
      <c r="A21" s="156" t="s">
        <v>141</v>
      </c>
      <c r="B21" s="157"/>
      <c r="C21" s="157"/>
      <c r="D21" s="157"/>
      <c r="E21" s="157"/>
      <c r="F21" s="158"/>
      <c r="G21" s="101" t="s">
        <v>104</v>
      </c>
      <c r="H21" s="159" t="s">
        <v>140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139</v>
      </c>
      <c r="Y21" s="160"/>
      <c r="Z21" s="161"/>
      <c r="AA21" s="103"/>
      <c r="AB21" s="103"/>
    </row>
    <row r="22" spans="1:28" s="36" customFormat="1" ht="120" customHeight="1">
      <c r="A22" s="156" t="s">
        <v>144</v>
      </c>
      <c r="B22" s="157"/>
      <c r="C22" s="157"/>
      <c r="D22" s="157"/>
      <c r="E22" s="157"/>
      <c r="F22" s="158"/>
      <c r="G22" s="101" t="s">
        <v>104</v>
      </c>
      <c r="H22" s="159" t="s">
        <v>143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142</v>
      </c>
      <c r="Y22" s="160"/>
      <c r="Z22" s="161"/>
      <c r="AA22" s="103"/>
      <c r="AB22" s="103"/>
    </row>
    <row r="23" spans="1:28" s="36" customFormat="1" ht="120" customHeight="1">
      <c r="A23" s="156" t="s">
        <v>147</v>
      </c>
      <c r="B23" s="157"/>
      <c r="C23" s="157"/>
      <c r="D23" s="157"/>
      <c r="E23" s="157"/>
      <c r="F23" s="158"/>
      <c r="G23" s="101" t="s">
        <v>104</v>
      </c>
      <c r="H23" s="159" t="s">
        <v>146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104</v>
      </c>
      <c r="X23" s="159" t="s">
        <v>145</v>
      </c>
      <c r="Y23" s="160"/>
      <c r="Z23" s="161"/>
      <c r="AA23" s="103"/>
      <c r="AB23" s="103"/>
    </row>
    <row r="24" spans="1:28" s="36" customFormat="1" ht="120" customHeight="1">
      <c r="A24" s="156" t="s">
        <v>150</v>
      </c>
      <c r="B24" s="157"/>
      <c r="C24" s="157"/>
      <c r="D24" s="157"/>
      <c r="E24" s="157"/>
      <c r="F24" s="158"/>
      <c r="G24" s="101" t="s">
        <v>104</v>
      </c>
      <c r="H24" s="159" t="s">
        <v>149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02" t="s">
        <v>104</v>
      </c>
      <c r="X24" s="159" t="s">
        <v>148</v>
      </c>
      <c r="Y24" s="160"/>
      <c r="Z24" s="161"/>
      <c r="AA24" s="103"/>
      <c r="AB24" s="103"/>
    </row>
    <row r="25" spans="1:28" s="36" customFormat="1" ht="120" customHeight="1">
      <c r="A25" s="156" t="s">
        <v>153</v>
      </c>
      <c r="B25" s="157"/>
      <c r="C25" s="157"/>
      <c r="D25" s="157"/>
      <c r="E25" s="157"/>
      <c r="F25" s="158"/>
      <c r="G25" s="101" t="s">
        <v>104</v>
      </c>
      <c r="H25" s="159" t="s">
        <v>152</v>
      </c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02" t="s">
        <v>104</v>
      </c>
      <c r="X25" s="159" t="s">
        <v>151</v>
      </c>
      <c r="Y25" s="160"/>
      <c r="Z25" s="161"/>
      <c r="AA25" s="103"/>
      <c r="AB25" s="103"/>
    </row>
    <row r="26" spans="1:28" s="36" customFormat="1" ht="120" customHeight="1">
      <c r="A26" s="156" t="s">
        <v>156</v>
      </c>
      <c r="B26" s="157"/>
      <c r="C26" s="157"/>
      <c r="D26" s="157"/>
      <c r="E26" s="157"/>
      <c r="F26" s="158"/>
      <c r="G26" s="101" t="s">
        <v>104</v>
      </c>
      <c r="H26" s="159" t="s">
        <v>155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02" t="s">
        <v>104</v>
      </c>
      <c r="X26" s="159" t="s">
        <v>154</v>
      </c>
      <c r="Y26" s="160"/>
      <c r="Z26" s="161"/>
      <c r="AA26" s="103"/>
      <c r="AB26" s="103"/>
    </row>
    <row r="27" spans="1:28" s="36" customFormat="1" ht="120" customHeight="1">
      <c r="A27" s="156" t="s">
        <v>159</v>
      </c>
      <c r="B27" s="157"/>
      <c r="C27" s="157"/>
      <c r="D27" s="157"/>
      <c r="E27" s="157"/>
      <c r="F27" s="158"/>
      <c r="G27" s="101" t="s">
        <v>104</v>
      </c>
      <c r="H27" s="159" t="s">
        <v>158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02" t="s">
        <v>104</v>
      </c>
      <c r="X27" s="159" t="s">
        <v>157</v>
      </c>
      <c r="Y27" s="160"/>
      <c r="Z27" s="161"/>
      <c r="AA27" s="103"/>
      <c r="AB27" s="103"/>
    </row>
    <row r="28" spans="1:28" s="36" customFormat="1" ht="120" customHeight="1">
      <c r="A28" s="156" t="s">
        <v>162</v>
      </c>
      <c r="B28" s="157"/>
      <c r="C28" s="157"/>
      <c r="D28" s="157"/>
      <c r="E28" s="157"/>
      <c r="F28" s="158"/>
      <c r="G28" s="101" t="s">
        <v>104</v>
      </c>
      <c r="H28" s="159" t="s">
        <v>161</v>
      </c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02" t="s">
        <v>104</v>
      </c>
      <c r="X28" s="159" t="s">
        <v>160</v>
      </c>
      <c r="Y28" s="160"/>
      <c r="Z28" s="161"/>
      <c r="AA28" s="103"/>
      <c r="AB28" s="103"/>
    </row>
    <row r="29" spans="1:28" s="36" customFormat="1" ht="120" customHeight="1">
      <c r="A29" s="156" t="s">
        <v>165</v>
      </c>
      <c r="B29" s="157"/>
      <c r="C29" s="157"/>
      <c r="D29" s="157"/>
      <c r="E29" s="157"/>
      <c r="F29" s="158"/>
      <c r="G29" s="101" t="s">
        <v>104</v>
      </c>
      <c r="H29" s="159" t="s">
        <v>164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02" t="s">
        <v>104</v>
      </c>
      <c r="X29" s="159" t="s">
        <v>163</v>
      </c>
      <c r="Y29" s="160"/>
      <c r="Z29" s="161"/>
      <c r="AA29" s="103"/>
      <c r="AB29" s="103"/>
    </row>
    <row r="30" spans="1:28" s="36" customFormat="1" ht="120" customHeight="1">
      <c r="A30" s="156" t="s">
        <v>168</v>
      </c>
      <c r="B30" s="157"/>
      <c r="C30" s="157"/>
      <c r="D30" s="157"/>
      <c r="E30" s="157"/>
      <c r="F30" s="158"/>
      <c r="G30" s="101" t="s">
        <v>104</v>
      </c>
      <c r="H30" s="159" t="s">
        <v>167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/>
      <c r="W30" s="102" t="s">
        <v>104</v>
      </c>
      <c r="X30" s="159" t="s">
        <v>166</v>
      </c>
      <c r="Y30" s="160"/>
      <c r="Z30" s="161"/>
      <c r="AA30" s="103"/>
      <c r="AB30" s="103"/>
    </row>
    <row r="31" spans="1:28" ht="120" customHeight="1">
      <c r="A31" s="162"/>
      <c r="B31" s="163"/>
      <c r="C31" s="163"/>
      <c r="D31" s="163"/>
      <c r="E31" s="163"/>
      <c r="F31" s="163"/>
      <c r="G31" s="90"/>
      <c r="H31" s="164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90"/>
      <c r="X31" s="164"/>
      <c r="Y31" s="165"/>
      <c r="Z31" s="165"/>
      <c r="AA31" s="80"/>
    </row>
    <row r="32" spans="1:28" ht="120" customHeight="1">
      <c r="A32" s="181" t="s">
        <v>80</v>
      </c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</row>
    <row r="33" spans="1:27" ht="120" customHeight="1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</row>
    <row r="34" spans="1:27" ht="120" customHeight="1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2022-01-12T08:22:11Z</cp:lastPrinted>
  <dcterms:created xsi:type="dcterms:W3CDTF">2008-09-29T00:47:34Z</dcterms:created>
  <dcterms:modified xsi:type="dcterms:W3CDTF">2022-01-12T08:22:38Z</dcterms:modified>
</cp:coreProperties>
</file>