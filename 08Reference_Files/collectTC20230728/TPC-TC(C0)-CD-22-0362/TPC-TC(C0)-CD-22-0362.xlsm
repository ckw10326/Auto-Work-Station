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TPC-TC(C0)-CD-22-03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Report!$A$1:$Z$73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7" i="8" l="1"/>
  <c r="D37" i="8" l="1"/>
  <c r="B18" i="8"/>
  <c r="X8" i="8" l="1"/>
</calcChain>
</file>

<file path=xl/sharedStrings.xml><?xml version="1.0" encoding="utf-8"?>
<sst xmlns="http://schemas.openxmlformats.org/spreadsheetml/2006/main" count="188" uniqueCount="119">
  <si>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</si>
  <si>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</si>
  <si>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</si>
  <si>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</si>
  <si>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</si>
  <si>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</si>
  <si>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</si>
  <si>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</si>
  <si>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</si>
  <si>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</si>
  <si>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</si>
  <si>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</si>
  <si>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</si>
  <si>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</si>
  <si>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</si>
  <si>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</si>
  <si>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</si>
  <si>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</si>
  <si>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</si>
  <si>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</si>
  <si>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</si>
  <si>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</si>
  <si>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</si>
  <si>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</si>
  <si>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</si>
  <si>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</si>
  <si>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</si>
  <si>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</si>
  <si>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</si>
  <si>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</si>
  <si>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</si>
  <si>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</si>
  <si>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</si>
  <si>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</si>
  <si>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</si>
  <si>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</si>
  <si>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</si>
  <si>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</si>
  <si>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</si>
  <si>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</si>
  <si>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</si>
  <si>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</si>
  <si>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</si>
  <si>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</si>
  <si>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</si>
  <si>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</si>
  <si>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</si>
  <si>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</si>
  <si>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</si>
  <si>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</si>
  <si>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</si>
  <si>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</si>
  <si>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</si>
  <si>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</si>
  <si>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</si>
  <si>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</si>
  <si>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</si>
  <si>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</si>
  <si>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</si>
  <si>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</si>
  <si>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</si>
  <si>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</si>
  <si>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</si>
  <si>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</si>
  <si>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</si>
  <si>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</si>
  <si>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</si>
  <si>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</si>
  <si>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</si>
  <si>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</si>
  <si>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</si>
  <si>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</si>
  <si>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</si>
  <si>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</si>
  <si>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</si>
  <si>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</si>
  <si>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</si>
  <si>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</si>
  <si>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</si>
  <si>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</si>
  <si>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</si>
  <si>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</si>
  <si>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</si>
  <si>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</si>
  <si>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</si>
  <si>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</si>
  <si>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</si>
  <si>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</si>
  <si>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</si>
  <si>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</si>
  <si>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</si>
  <si>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</si>
  <si>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</si>
  <si>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</si>
  <si>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</si>
  <si>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TPC-TC(C0)-CD-22-0362</t>
  </si>
  <si>
    <t>IFA</t>
  </si>
  <si>
    <t>2022/06/06</t>
  </si>
  <si>
    <t>XB12A-7230-001</t>
  </si>
  <si>
    <t>P&amp;ID - WASTEWATER RECYCLE AND DISCHARGE SYSTEM (COMMON) (1/2)</t>
  </si>
  <si>
    <t>E</t>
  </si>
  <si>
    <t>A</t>
  </si>
  <si>
    <t>P&amp;ID, Sizing Report and Differential Head Calculation Sheet for Wastewater Recycle and Discharge System</t>
  </si>
  <si>
    <t>TC0-1-KWM02-D6301</t>
  </si>
  <si>
    <t xml:space="preserve">蕭舜予  Ext.:22121 </t>
  </si>
  <si>
    <t>PS-0276</t>
  </si>
  <si>
    <t>XB12A-7230-002</t>
  </si>
  <si>
    <t>P&amp;ID - WASTEWATER RECYCLE AND DISCHARGE SYSTEM (COMMON) (2/2)</t>
  </si>
  <si>
    <t>TC0-1-KWM02-D6302</t>
  </si>
  <si>
    <t>XC21D-7230-001</t>
  </si>
  <si>
    <t>SYSTEM DESCRIPTION AND CAPACITY SIZING FOR WASTEWATER RECYCLE AND DISCHARGE SYSTEM</t>
  </si>
  <si>
    <t>TC0-1-KWM02-R6301</t>
  </si>
  <si>
    <t>XC34-7230-001</t>
  </si>
  <si>
    <t>DIFFERENTIAL HEAD CALCULATION SHEET FOR WASTEWATER RECYCLE AND DISCHARGE SYSTEM</t>
  </si>
  <si>
    <t>B</t>
  </si>
  <si>
    <t>TC0-1-KWM02-C6301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</si>
  <si>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</si>
  <si>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</si>
  <si>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2022/05/06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</si>
</sst>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Wastewater%20Recycle%20and%20Discharge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38</xdr:row>
      <xdr:rowOff>95250</xdr:rowOff>
    </xdr:from>
    <xdr:to>
      <xdr:col>25</xdr:col>
      <xdr:colOff>698668</xdr:colOff>
      <xdr:row>41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28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7" t="s">
        <v>101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28</v>
      </c>
      <c r="E3" s="26" t="s">
        <v>106</v>
      </c>
      <c r="F3" s="27" t="s">
        <v>107</v>
      </c>
      <c r="G3" s="26" t="s">
        <v>100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7" t="s">
        <v>101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28</v>
      </c>
      <c r="E4" s="26" t="s">
        <v>109</v>
      </c>
      <c r="F4" s="27" t="s">
        <v>110</v>
      </c>
      <c r="G4" s="26" t="s">
        <v>100</v>
      </c>
      <c r="H4" s="26" t="s">
        <v>101</v>
      </c>
      <c r="I4" s="27" t="s">
        <v>102</v>
      </c>
      <c r="J4" s="26" t="s">
        <v>111</v>
      </c>
      <c r="K4" s="26" t="s">
        <v>104</v>
      </c>
      <c r="L4" s="26" t="s">
        <v>105</v>
      </c>
      <c r="M4" s="27" t="s">
        <v>101</v>
      </c>
      <c r="N4" s="28"/>
      <c r="O4" s="30"/>
      <c r="P4" s="28"/>
      <c r="Q4" s="28"/>
    </row>
    <row r="5" spans="1:17" s="13" customFormat="1">
      <c r="A5" s="26" t="s">
        <v>95</v>
      </c>
      <c r="B5" s="26" t="s">
        <v>96</v>
      </c>
      <c r="C5" s="26" t="s">
        <v>97</v>
      </c>
      <c r="D5" s="26" t="s">
        <v>28</v>
      </c>
      <c r="E5" s="26" t="s">
        <v>112</v>
      </c>
      <c r="F5" s="27" t="s">
        <v>113</v>
      </c>
      <c r="G5" s="26" t="s">
        <v>114</v>
      </c>
      <c r="H5" s="26" t="s">
        <v>101</v>
      </c>
      <c r="I5" s="27" t="s">
        <v>102</v>
      </c>
      <c r="J5" s="26" t="s">
        <v>115</v>
      </c>
      <c r="K5" s="26" t="s">
        <v>104</v>
      </c>
      <c r="L5" s="26" t="s">
        <v>105</v>
      </c>
      <c r="M5" s="27" t="s">
        <v>101</v>
      </c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3"/>
  <sheetViews>
    <sheetView tabSelected="1" view="pageBreakPreview" zoomScale="40" zoomScaleNormal="70" zoomScaleSheetLayoutView="40" zoomScalePageLayoutView="40" workbookViewId="0">
      <selection activeCell="X12" sqref="X1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0" t="s">
        <v>29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131"/>
      <c r="Z5" s="132"/>
      <c r="AA5" s="132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37"/>
      <c r="Y6" s="114"/>
      <c r="Z6" s="114"/>
      <c r="AA6" s="114"/>
      <c r="AB6" s="114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42" t="s">
        <v>118</v>
      </c>
      <c r="Y7" s="143"/>
      <c r="Z7" s="14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44" t="str">
        <f>Data1!A2</f>
        <v>TPC-TC(C0)-CD-22-0362</v>
      </c>
      <c r="Y8" s="114"/>
      <c r="Z8" s="114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0" t="s">
        <v>81</v>
      </c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83"/>
      <c r="AB16" s="83"/>
    </row>
    <row r="17" spans="1:28" s="34" customFormat="1" ht="47.25" customHeight="1">
      <c r="A17" s="141" t="s">
        <v>37</v>
      </c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84"/>
      <c r="AB17" s="84"/>
    </row>
    <row r="18" spans="1:28" s="34" customFormat="1" ht="82.5" customHeight="1">
      <c r="A18" s="66" t="s">
        <v>38</v>
      </c>
      <c r="B18" s="138" t="str">
        <f>Data1!I2</f>
        <v>P&amp;ID, Sizing Report and Differential Head Calculation Sheet for Wastewater Recycle and Discharge System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4" t="s">
        <v>116</v>
      </c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</row>
    <row r="23" spans="1:28" s="34" customFormat="1" ht="39.75" customHeight="1">
      <c r="A23" s="134" t="s">
        <v>57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</row>
    <row r="24" spans="1:28" s="34" customFormat="1" ht="39.75" customHeight="1">
      <c r="A24" s="40"/>
      <c r="B24" s="44" t="s">
        <v>79</v>
      </c>
      <c r="C24" s="136" t="s">
        <v>58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</row>
    <row r="25" spans="1:28" s="34" customFormat="1" ht="39.75" customHeight="1">
      <c r="A25" s="40"/>
      <c r="B25" s="44" t="s">
        <v>41</v>
      </c>
      <c r="C25" s="129" t="s">
        <v>42</v>
      </c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127" t="s">
        <v>43</v>
      </c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7"/>
      <c r="B29" s="127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40"/>
      <c r="Y29" s="41"/>
      <c r="Z29" s="41"/>
      <c r="AA29" s="42"/>
      <c r="AB29" s="41"/>
    </row>
    <row r="30" spans="1:28" s="34" customFormat="1" ht="33.950000000000003" customHeight="1">
      <c r="A30" s="116" t="s">
        <v>74</v>
      </c>
      <c r="B30" s="117"/>
      <c r="C30" s="117"/>
      <c r="D30" s="117"/>
      <c r="E30" s="117"/>
      <c r="F30" s="118"/>
      <c r="G30" s="118"/>
      <c r="H30" s="118"/>
      <c r="I30" s="118"/>
      <c r="J30" s="118"/>
      <c r="K30" s="118"/>
      <c r="L30" s="118"/>
      <c r="M30" s="118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8"/>
      <c r="AB30" s="118"/>
    </row>
    <row r="31" spans="1:28" s="34" customFormat="1" ht="39.75" customHeight="1">
      <c r="A31" s="119" t="s">
        <v>45</v>
      </c>
      <c r="B31" s="120"/>
      <c r="C31" s="120"/>
      <c r="D31" s="120"/>
      <c r="E31" s="120"/>
      <c r="F31" s="121"/>
      <c r="G31" s="46" t="s">
        <v>46</v>
      </c>
      <c r="H31" s="122" t="s">
        <v>47</v>
      </c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4"/>
      <c r="W31" s="47" t="s">
        <v>48</v>
      </c>
      <c r="X31" s="122" t="s">
        <v>49</v>
      </c>
      <c r="Y31" s="125"/>
      <c r="Z31" s="126"/>
    </row>
    <row r="32" spans="1:28" s="34" customFormat="1" ht="78" customHeight="1">
      <c r="A32" s="94" t="s">
        <v>103</v>
      </c>
      <c r="B32" s="95"/>
      <c r="C32" s="95"/>
      <c r="D32" s="95"/>
      <c r="E32" s="95"/>
      <c r="F32" s="96"/>
      <c r="G32" s="92" t="s">
        <v>100</v>
      </c>
      <c r="H32" s="97" t="s">
        <v>99</v>
      </c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9"/>
      <c r="W32" s="93" t="s">
        <v>101</v>
      </c>
      <c r="X32" s="97" t="s">
        <v>98</v>
      </c>
      <c r="Y32" s="98"/>
      <c r="Z32" s="99"/>
    </row>
    <row r="33" spans="1:28" s="34" customFormat="1" ht="78" customHeight="1">
      <c r="A33" s="94" t="s">
        <v>108</v>
      </c>
      <c r="B33" s="95"/>
      <c r="C33" s="95"/>
      <c r="D33" s="95"/>
      <c r="E33" s="95"/>
      <c r="F33" s="96"/>
      <c r="G33" s="92" t="s">
        <v>100</v>
      </c>
      <c r="H33" s="97" t="s">
        <v>107</v>
      </c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9"/>
      <c r="W33" s="93" t="s">
        <v>101</v>
      </c>
      <c r="X33" s="97" t="s">
        <v>106</v>
      </c>
      <c r="Y33" s="98"/>
      <c r="Z33" s="99"/>
    </row>
    <row r="34" spans="1:28" s="34" customFormat="1" ht="78" customHeight="1">
      <c r="A34" s="94" t="s">
        <v>111</v>
      </c>
      <c r="B34" s="95"/>
      <c r="C34" s="95"/>
      <c r="D34" s="95"/>
      <c r="E34" s="95"/>
      <c r="F34" s="96"/>
      <c r="G34" s="92" t="s">
        <v>100</v>
      </c>
      <c r="H34" s="97" t="s">
        <v>110</v>
      </c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9"/>
      <c r="W34" s="93" t="s">
        <v>101</v>
      </c>
      <c r="X34" s="97" t="s">
        <v>109</v>
      </c>
      <c r="Y34" s="98"/>
      <c r="Z34" s="99"/>
    </row>
    <row r="35" spans="1:28" s="34" customFormat="1" ht="78" customHeight="1">
      <c r="A35" s="94" t="s">
        <v>115</v>
      </c>
      <c r="B35" s="95"/>
      <c r="C35" s="95"/>
      <c r="D35" s="95"/>
      <c r="E35" s="95"/>
      <c r="F35" s="96"/>
      <c r="G35" s="92" t="s">
        <v>114</v>
      </c>
      <c r="H35" s="97" t="s">
        <v>113</v>
      </c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9"/>
      <c r="W35" s="93" t="s">
        <v>101</v>
      </c>
      <c r="X35" s="97" t="s">
        <v>112</v>
      </c>
      <c r="Y35" s="98"/>
      <c r="Z35" s="99"/>
    </row>
    <row r="36" spans="1:28" s="34" customFormat="1" ht="33.950000000000003" customHeight="1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41"/>
      <c r="X36" s="48"/>
      <c r="Y36" s="48"/>
      <c r="Z36" s="48"/>
      <c r="AA36" s="42"/>
      <c r="AB36" s="41"/>
    </row>
    <row r="37" spans="1:28" s="34" customFormat="1" ht="33.950000000000003" customHeight="1">
      <c r="A37" s="49" t="s">
        <v>82</v>
      </c>
      <c r="B37" s="49"/>
      <c r="C37" s="49"/>
      <c r="D37" s="89" t="str">
        <f>Data1!K2</f>
        <v xml:space="preserve">蕭舜予  Ext.:22121 </v>
      </c>
      <c r="E37" s="49"/>
      <c r="F37" s="49"/>
      <c r="G37" s="49"/>
      <c r="H37" s="91" t="str">
        <f>Data1!L2</f>
        <v>PS-0276</v>
      </c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100" t="s">
        <v>54</v>
      </c>
      <c r="W37" s="101"/>
      <c r="X37" s="101"/>
      <c r="Y37" s="101"/>
      <c r="Z37" s="101"/>
      <c r="AA37" s="81"/>
      <c r="AB37" s="48"/>
    </row>
    <row r="38" spans="1:28" s="34" customFormat="1" ht="33.950000000000003" customHeight="1">
      <c r="A38" s="112"/>
      <c r="B38" s="113"/>
      <c r="C38" s="113"/>
      <c r="D38" s="113"/>
      <c r="E38" s="113"/>
      <c r="F38" s="113"/>
      <c r="G38" s="38"/>
      <c r="H38" s="112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112"/>
      <c r="B39" s="113"/>
      <c r="C39" s="113"/>
      <c r="D39" s="113"/>
      <c r="E39" s="113"/>
      <c r="F39" s="113"/>
      <c r="G39" s="38"/>
      <c r="H39" s="112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75"/>
      <c r="B40" s="74"/>
      <c r="C40" s="74"/>
      <c r="D40" s="74"/>
      <c r="E40" s="74"/>
      <c r="F40" s="74"/>
      <c r="G40" s="75"/>
      <c r="H40" s="75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12"/>
      <c r="B41" s="113"/>
      <c r="C41" s="113"/>
      <c r="D41" s="113"/>
      <c r="E41" s="113"/>
      <c r="F41" s="113"/>
      <c r="G41" s="38"/>
      <c r="H41" s="112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69"/>
      <c r="X41" s="69"/>
      <c r="Y41" s="69"/>
      <c r="Z41" s="69"/>
      <c r="AA41" s="70"/>
      <c r="AB41" s="41"/>
    </row>
    <row r="42" spans="1:28" s="34" customFormat="1" ht="33.950000000000003" customHeight="1">
      <c r="A42" s="112"/>
      <c r="B42" s="113"/>
      <c r="C42" s="113"/>
      <c r="D42" s="113"/>
      <c r="E42" s="113"/>
      <c r="F42" s="113"/>
      <c r="G42" s="38"/>
      <c r="H42" s="78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80"/>
      <c r="W42" s="71"/>
      <c r="X42" s="71"/>
      <c r="Y42" s="72"/>
      <c r="Z42" s="72"/>
      <c r="AA42" s="76"/>
      <c r="AB42" s="41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00" t="s">
        <v>55</v>
      </c>
      <c r="W43" s="114"/>
      <c r="X43" s="114"/>
      <c r="Y43" s="114"/>
      <c r="Z43" s="114"/>
      <c r="AA43" s="77"/>
      <c r="AB43" s="50"/>
    </row>
    <row r="44" spans="1:28" s="34" customFormat="1" ht="33.950000000000003" customHeight="1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100" t="s">
        <v>0</v>
      </c>
      <c r="W44" s="115"/>
      <c r="X44" s="115"/>
      <c r="Y44" s="115"/>
      <c r="Z44" s="115"/>
      <c r="AA44" s="77"/>
      <c r="AB44" s="50"/>
    </row>
    <row r="45" spans="1:28" s="34" customFormat="1" ht="33.950000000000003" customHeight="1">
      <c r="A45" s="51" t="s">
        <v>50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2"/>
      <c r="U45" s="52"/>
      <c r="V45" s="52"/>
      <c r="W45" s="52"/>
      <c r="X45" s="52"/>
      <c r="Y45" s="52"/>
      <c r="Z45" s="52"/>
      <c r="AA45" s="53"/>
      <c r="AB45" s="52"/>
    </row>
    <row r="46" spans="1:28" s="34" customFormat="1" ht="79.5" customHeight="1">
      <c r="A46" s="106" t="s">
        <v>117</v>
      </c>
      <c r="B46" s="106"/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6"/>
    </row>
    <row r="47" spans="1:28" s="34" customFormat="1" ht="41.25" customHeight="1">
      <c r="A47" s="104" t="s">
        <v>80</v>
      </c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</row>
    <row r="48" spans="1:28" s="34" customFormat="1" ht="41.25" customHeight="1">
      <c r="A48" s="54"/>
      <c r="B48" s="55" t="s">
        <v>79</v>
      </c>
      <c r="C48" s="54" t="s">
        <v>85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6"/>
      <c r="U48" s="56"/>
      <c r="V48" s="56"/>
      <c r="W48" s="56"/>
      <c r="X48" s="56"/>
      <c r="Y48" s="56"/>
      <c r="Z48" s="56"/>
      <c r="AA48" s="57"/>
      <c r="AB48" s="56"/>
    </row>
    <row r="49" spans="1:28" s="34" customFormat="1" ht="41.25" customHeight="1">
      <c r="A49" s="54"/>
      <c r="B49" s="55"/>
      <c r="C49" s="58" t="s">
        <v>79</v>
      </c>
      <c r="D49" s="104" t="s">
        <v>60</v>
      </c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</row>
    <row r="50" spans="1:28" s="34" customFormat="1" ht="41.25" customHeight="1">
      <c r="A50" s="54"/>
      <c r="B50" s="55"/>
      <c r="C50" s="58"/>
      <c r="D50" s="104" t="s">
        <v>61</v>
      </c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</row>
    <row r="51" spans="1:28" s="34" customFormat="1" ht="41.25" customHeight="1">
      <c r="A51" s="54"/>
      <c r="B51" s="55"/>
      <c r="C51" s="55" t="s">
        <v>56</v>
      </c>
      <c r="D51" s="107" t="s">
        <v>51</v>
      </c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</row>
    <row r="52" spans="1:28" s="34" customFormat="1" ht="41.25" customHeight="1">
      <c r="A52" s="51"/>
      <c r="B52" s="59" t="s">
        <v>79</v>
      </c>
      <c r="C52" s="51" t="s">
        <v>86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2"/>
      <c r="W52" s="52"/>
      <c r="X52" s="52"/>
      <c r="Y52" s="52"/>
      <c r="Z52" s="52"/>
      <c r="AA52" s="53"/>
      <c r="AB52" s="52"/>
    </row>
    <row r="53" spans="1:28" s="34" customFormat="1" ht="41.25" customHeight="1">
      <c r="A53" s="54"/>
      <c r="B53" s="55"/>
      <c r="C53" s="60" t="s">
        <v>79</v>
      </c>
      <c r="D53" s="104" t="s">
        <v>62</v>
      </c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</row>
    <row r="54" spans="1:28" s="34" customFormat="1" ht="41.25" customHeight="1">
      <c r="A54" s="54"/>
      <c r="B54" s="55"/>
      <c r="C54" s="61"/>
      <c r="D54" s="104" t="s">
        <v>61</v>
      </c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</row>
    <row r="55" spans="1:28" s="34" customFormat="1" ht="41.25" customHeight="1">
      <c r="A55" s="54"/>
      <c r="B55" s="60" t="s">
        <v>79</v>
      </c>
      <c r="C55" s="54" t="s">
        <v>83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6"/>
      <c r="W55" s="56"/>
      <c r="X55" s="56"/>
      <c r="Y55" s="56"/>
      <c r="Z55" s="56"/>
      <c r="AA55" s="57"/>
      <c r="AB55" s="56"/>
    </row>
    <row r="56" spans="1:28" s="34" customFormat="1" ht="41.25" customHeight="1">
      <c r="A56" s="54"/>
      <c r="B56" s="55"/>
      <c r="C56" s="58" t="s">
        <v>79</v>
      </c>
      <c r="D56" s="105" t="s">
        <v>63</v>
      </c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</row>
    <row r="57" spans="1:28" s="34" customFormat="1" ht="41.25" customHeight="1">
      <c r="A57" s="54"/>
      <c r="B57" s="55"/>
      <c r="C57" s="61"/>
      <c r="D57" s="104" t="s">
        <v>61</v>
      </c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</row>
    <row r="58" spans="1:28" s="34" customFormat="1" ht="41.25" customHeight="1">
      <c r="A58" s="54"/>
      <c r="B58" s="55"/>
      <c r="C58" s="60" t="s">
        <v>56</v>
      </c>
      <c r="D58" s="54" t="s">
        <v>52</v>
      </c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6"/>
      <c r="W58" s="56"/>
      <c r="X58" s="56"/>
      <c r="Y58" s="56"/>
      <c r="Z58" s="56"/>
      <c r="AA58" s="57"/>
      <c r="AB58" s="56"/>
    </row>
    <row r="59" spans="1:28" s="34" customFormat="1" ht="41.25" customHeight="1">
      <c r="A59" s="54"/>
      <c r="B59" s="59"/>
      <c r="C59" s="62" t="s">
        <v>41</v>
      </c>
      <c r="D59" s="109" t="s">
        <v>71</v>
      </c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</row>
    <row r="60" spans="1:28" s="34" customFormat="1" ht="41.25" customHeight="1">
      <c r="A60" s="54"/>
      <c r="B60" s="55"/>
      <c r="C60" s="61"/>
      <c r="D60" s="104" t="s">
        <v>64</v>
      </c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</row>
    <row r="61" spans="1:28" s="34" customFormat="1" ht="41.25" customHeight="1">
      <c r="A61" s="54"/>
      <c r="B61" s="60" t="s">
        <v>56</v>
      </c>
      <c r="C61" s="90" t="s">
        <v>89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6"/>
      <c r="W61" s="56"/>
      <c r="X61" s="56"/>
      <c r="Y61" s="56"/>
      <c r="Z61" s="56"/>
      <c r="AA61" s="57"/>
      <c r="AB61" s="56"/>
    </row>
    <row r="62" spans="1:28" s="34" customFormat="1" ht="41.25" customHeight="1">
      <c r="A62" s="54"/>
      <c r="B62" s="55"/>
      <c r="C62" s="60" t="s">
        <v>56</v>
      </c>
      <c r="D62" s="104" t="s">
        <v>65</v>
      </c>
      <c r="E62" s="107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</row>
    <row r="63" spans="1:28" s="34" customFormat="1" ht="41.25" customHeight="1">
      <c r="A63" s="54"/>
      <c r="B63" s="55"/>
      <c r="C63" s="61"/>
      <c r="D63" s="104" t="s">
        <v>66</v>
      </c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</row>
    <row r="64" spans="1:28" s="34" customFormat="1" ht="41.25" customHeight="1">
      <c r="A64" s="63" t="s">
        <v>67</v>
      </c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6"/>
      <c r="W64" s="56"/>
      <c r="X64" s="56"/>
      <c r="Y64" s="56"/>
      <c r="Z64" s="56"/>
      <c r="AA64" s="57"/>
      <c r="AB64" s="56"/>
    </row>
    <row r="65" spans="1:28" s="34" customFormat="1" ht="41.25" customHeight="1">
      <c r="A65" s="54"/>
      <c r="B65" s="64" t="s">
        <v>56</v>
      </c>
      <c r="C65" s="104" t="s">
        <v>87</v>
      </c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10"/>
      <c r="V65" s="110"/>
      <c r="W65" s="110"/>
      <c r="X65" s="110"/>
      <c r="Y65" s="111"/>
      <c r="Z65" s="111"/>
      <c r="AA65" s="111"/>
      <c r="AB65" s="56"/>
    </row>
    <row r="66" spans="1:28" s="34" customFormat="1" ht="41.25" customHeight="1">
      <c r="A66" s="54"/>
      <c r="B66" s="64"/>
      <c r="C66" s="104" t="s">
        <v>68</v>
      </c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56"/>
    </row>
    <row r="67" spans="1:28" s="34" customFormat="1" ht="41.25" customHeight="1">
      <c r="A67" s="54"/>
      <c r="B67" s="65" t="s">
        <v>69</v>
      </c>
      <c r="C67" s="104" t="s">
        <v>88</v>
      </c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56"/>
    </row>
    <row r="68" spans="1:28" s="34" customFormat="1" ht="41.25" customHeight="1">
      <c r="A68" s="54"/>
      <c r="B68" s="64"/>
      <c r="C68" s="104" t="s">
        <v>72</v>
      </c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56"/>
    </row>
    <row r="69" spans="1:28" s="34" customFormat="1" ht="41.25" customHeight="1">
      <c r="A69" s="54"/>
      <c r="B69" s="65" t="s">
        <v>69</v>
      </c>
      <c r="C69" s="105" t="s">
        <v>84</v>
      </c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56"/>
    </row>
    <row r="70" spans="1:28" s="34" customFormat="1" ht="41.25" customHeight="1">
      <c r="A70" s="54"/>
      <c r="B70" s="64"/>
      <c r="C70" s="104" t="s">
        <v>73</v>
      </c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56"/>
    </row>
    <row r="71" spans="1:28" s="34" customFormat="1" ht="60.75" customHeight="1">
      <c r="A71" s="54"/>
      <c r="B71" s="64" t="s">
        <v>41</v>
      </c>
      <c r="C71" s="103" t="s">
        <v>90</v>
      </c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56"/>
    </row>
    <row r="72" spans="1:28" s="34" customFormat="1" ht="41.25" customHeight="1">
      <c r="A72" s="54"/>
      <c r="B72" s="64"/>
      <c r="C72" s="104" t="s">
        <v>70</v>
      </c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56"/>
    </row>
    <row r="73" spans="1:28" ht="33.950000000000003" customHeight="1">
      <c r="A73" s="21"/>
      <c r="B73" s="24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22"/>
      <c r="Z73" s="22"/>
      <c r="AA73" s="23"/>
      <c r="AB73" s="22"/>
    </row>
  </sheetData>
  <mergeCells count="63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V44:Z44"/>
    <mergeCell ref="H38:V38"/>
    <mergeCell ref="H39:V39"/>
    <mergeCell ref="H41:V41"/>
    <mergeCell ref="A30:AB30"/>
    <mergeCell ref="A31:F31"/>
    <mergeCell ref="H31:V31"/>
    <mergeCell ref="X31:Z31"/>
    <mergeCell ref="A32:F32"/>
    <mergeCell ref="H32:V32"/>
    <mergeCell ref="X32:Z32"/>
    <mergeCell ref="D62:AB62"/>
    <mergeCell ref="C65:AA65"/>
    <mergeCell ref="D60:AB60"/>
    <mergeCell ref="D63:AB63"/>
    <mergeCell ref="A34:F34"/>
    <mergeCell ref="H34:V34"/>
    <mergeCell ref="X34:Z34"/>
    <mergeCell ref="A35:F35"/>
    <mergeCell ref="H35:V35"/>
    <mergeCell ref="X35:Z35"/>
    <mergeCell ref="A46:AB46"/>
    <mergeCell ref="A38:F38"/>
    <mergeCell ref="A39:F39"/>
    <mergeCell ref="A41:F41"/>
    <mergeCell ref="A42:F42"/>
    <mergeCell ref="V43:Z43"/>
    <mergeCell ref="D49:AB49"/>
    <mergeCell ref="D51:AB51"/>
    <mergeCell ref="D53:AB53"/>
    <mergeCell ref="D56:AB56"/>
    <mergeCell ref="D59:AB59"/>
    <mergeCell ref="A33:F33"/>
    <mergeCell ref="H33:V33"/>
    <mergeCell ref="X33:Z33"/>
    <mergeCell ref="V37:Z37"/>
    <mergeCell ref="C73:X73"/>
    <mergeCell ref="C71:AA71"/>
    <mergeCell ref="C69:AA69"/>
    <mergeCell ref="C72:AA72"/>
    <mergeCell ref="C70:AA70"/>
    <mergeCell ref="C68:AA68"/>
    <mergeCell ref="C66:AA66"/>
    <mergeCell ref="C67:AA67"/>
    <mergeCell ref="A47:AB47"/>
    <mergeCell ref="D50:AB50"/>
    <mergeCell ref="D54:AB54"/>
    <mergeCell ref="D57:AB5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7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2022-05-06T08:08:30Z</cp:lastPrinted>
  <dcterms:created xsi:type="dcterms:W3CDTF">2008-09-29T00:47:34Z</dcterms:created>
  <dcterms:modified xsi:type="dcterms:W3CDTF">2022-05-06T08:08:39Z</dcterms:modified>
</cp:coreProperties>
</file>