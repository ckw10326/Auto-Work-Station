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0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<sst xmlns="http://schemas.openxmlformats.org/spreadsheetml/2006/main" count="198" uniqueCount="121">
  <si>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</si>
  <si>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</si>
  <si>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</si>
  <si>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</si>
  <si>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</si>
  <si>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</si>
  <si>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</si>
  <si>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</si>
  <si>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</si>
  <si>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</si>
  <si>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</si>
  <si>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</si>
  <si>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</si>
  <si>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</si>
  <si>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</si>
  <si>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</si>
  <si>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</si>
  <si>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</si>
  <si>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</si>
  <si>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</si>
  <si>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</si>
  <si>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</si>
  <si>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</si>
  <si>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</si>
  <si>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</si>
  <si>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</si>
  <si>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</si>
  <si>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</si>
  <si>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</si>
  <si>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</si>
  <si>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</si>
  <si>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</si>
  <si>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</si>
  <si>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</si>
  <si>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</si>
  <si>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</si>
  <si>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</si>
  <si>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</si>
  <si>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</si>
  <si>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</si>
  <si>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</si>
  <si>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</si>
  <si>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</si>
  <si>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</si>
  <si>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</si>
  <si>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</si>
  <si>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</si>
  <si>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</si>
  <si>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</si>
  <si>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</si>
  <si>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</si>
  <si>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</si>
  <si>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</si>
  <si>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</si>
  <si>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</si>
  <si>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</si>
  <si>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</si>
  <si>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</si>
  <si>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</si>
  <si>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</si>
  <si>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</si>
  <si>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</si>
  <si>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</si>
  <si>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</si>
  <si>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</si>
  <si>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</si>
  <si>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</si>
  <si>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</si>
  <si>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</si>
  <si>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</si>
  <si>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</si>
  <si>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</si>
  <si>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</si>
  <si>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</si>
  <si>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</si>
  <si>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</si>
  <si>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</si>
  <si>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</si>
  <si>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</si>
  <si>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</si>
  <si>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</si>
  <si>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</si>
  <si>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</si>
  <si>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</si>
  <si>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</si>
  <si>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</si>
  <si>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</si>
  <si>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</si>
  <si>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</si>
  <si>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</si>
  <si>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</si>
  <si>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</si>
  <si>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</si>
  <si>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</si>
  <si>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</si>
  <si>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</si>
  <si>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TPC-TC(C0)-CD-22-0705</t>
  </si>
  <si>
    <t>IFA</t>
  </si>
  <si>
    <t>2022/08/22</t>
  </si>
  <si>
    <t>2022/07/22</t>
  </si>
  <si>
    <t>M0001-6181</t>
  </si>
  <si>
    <t>一號廢棄物暫存區滅火器平面圖</t>
  </si>
  <si>
    <t>C</t>
  </si>
  <si>
    <t>A</t>
  </si>
  <si>
    <t>一號廢棄物暫存區滅火器平面圖/廣播系統昇位圖 &amp; 平面圖/火警系統昇位圖 &amp; 平面圖/避難逃生照明系統平面圖</t>
  </si>
  <si>
    <t>TC0-1-FCM02-D6275</t>
  </si>
  <si>
    <t>施韋考  Ext.:26356</t>
  </si>
  <si>
    <t>R</t>
  </si>
  <si>
    <t>VDR-M0001-GWOJ-0050</t>
  </si>
  <si>
    <t>M0001-6182</t>
  </si>
  <si>
    <t>一號廢棄物暫存區廣播系統昇位圖 &amp; 平面圖</t>
  </si>
  <si>
    <t>TC0-1-FCM02-D6277</t>
  </si>
  <si>
    <t>M0001-6184</t>
  </si>
  <si>
    <t>一號廢棄物暫存區火警系統昇位圖 &amp; 平面圖</t>
  </si>
  <si>
    <t>TC0-1-FCM02-D6280</t>
  </si>
  <si>
    <t>M0001-6186</t>
  </si>
  <si>
    <t>一號廢棄物暫存區避難逃生照明系統平面圖</t>
  </si>
  <si>
    <t>TC0-1-FCM02-D6283</t>
  </si>
  <si>
    <r>
      <rPr>
        <sz val="24"/>
        <rFont val="細明體"/>
        <family val="3"/>
        <charset val="136"/>
      </rPr>
      <t>詳下頁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</si>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</sst>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0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19968;&#34399;&#24290;&#26820;&#29289;&#26283;&#23384;&#21312;&#28357;&#28779;&#22120;&#24179;&#38754;&#22294;/&#24291;&#25773;&#31995;&#32113;&#26119;&#20301;&#22294;%20&amp;%20&#24179;&#38754;&#22294;/&#28779;&#35686;&#31995;&#32113;&#26119;&#20301;&#22294;%20&amp;%20&#24179;&#38754;&#22294;/&#36991;&#38627;&#36867;&#29983;&#29031;&#26126;&#31995;&#32113;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90</v>
      </c>
      <c r="D1" s="26" t="s">
        <v>3</v>
      </c>
      <c r="E1" s="26" t="s">
        <v>91</v>
      </c>
      <c r="F1" s="26" t="s">
        <v>4</v>
      </c>
      <c r="G1" s="26" t="s">
        <v>5</v>
      </c>
      <c r="H1" s="26" t="s">
        <v>6</v>
      </c>
      <c r="I1" s="26" t="s">
        <v>92</v>
      </c>
      <c r="J1" s="26" t="s">
        <v>7</v>
      </c>
      <c r="K1" s="26" t="s">
        <v>93</v>
      </c>
      <c r="L1" s="26" t="s">
        <v>94</v>
      </c>
      <c r="M1" s="26" t="s">
        <v>95</v>
      </c>
      <c r="N1" s="26"/>
      <c r="O1" s="26"/>
      <c r="P1" s="26"/>
      <c r="Q1" s="26"/>
    </row>
    <row r="2" spans="1:17" s="13" customFormat="1">
      <c r="A2" s="27" t="s">
        <v>96</v>
      </c>
      <c r="B2" s="27" t="s">
        <v>97</v>
      </c>
      <c r="C2" s="27" t="s">
        <v>98</v>
      </c>
      <c r="D2" s="27" t="s">
        <v>99</v>
      </c>
      <c r="E2" s="27" t="s">
        <v>100</v>
      </c>
      <c r="F2" s="28" t="s">
        <v>101</v>
      </c>
      <c r="G2" s="27" t="s">
        <v>102</v>
      </c>
      <c r="H2" s="27" t="s">
        <v>103</v>
      </c>
      <c r="I2" s="28" t="s">
        <v>104</v>
      </c>
      <c r="J2" s="27" t="s">
        <v>105</v>
      </c>
      <c r="K2" s="27" t="s">
        <v>106</v>
      </c>
      <c r="L2" s="27" t="s">
        <v>107</v>
      </c>
      <c r="M2" s="28" t="s">
        <v>108</v>
      </c>
      <c r="N2" s="29"/>
      <c r="O2" s="31"/>
      <c r="P2" s="29"/>
      <c r="Q2" s="29"/>
    </row>
    <row r="3" spans="1:17" s="13" customFormat="1">
      <c r="A3" s="27" t="s">
        <v>96</v>
      </c>
      <c r="B3" s="27" t="s">
        <v>97</v>
      </c>
      <c r="C3" s="27" t="s">
        <v>98</v>
      </c>
      <c r="D3" s="27" t="s">
        <v>99</v>
      </c>
      <c r="E3" s="27" t="s">
        <v>109</v>
      </c>
      <c r="F3" s="28" t="s">
        <v>110</v>
      </c>
      <c r="G3" s="27" t="s">
        <v>102</v>
      </c>
      <c r="H3" s="27" t="s">
        <v>103</v>
      </c>
      <c r="I3" s="28" t="s">
        <v>104</v>
      </c>
      <c r="J3" s="27" t="s">
        <v>111</v>
      </c>
      <c r="K3" s="27" t="s">
        <v>106</v>
      </c>
      <c r="L3" s="27" t="s">
        <v>107</v>
      </c>
      <c r="M3" s="28" t="s">
        <v>108</v>
      </c>
      <c r="N3" s="29"/>
      <c r="O3" s="31"/>
      <c r="P3" s="29"/>
      <c r="Q3" s="29"/>
    </row>
    <row r="4" spans="1:17" s="13" customFormat="1">
      <c r="A4" s="27" t="s">
        <v>96</v>
      </c>
      <c r="B4" s="27" t="s">
        <v>97</v>
      </c>
      <c r="C4" s="27" t="s">
        <v>98</v>
      </c>
      <c r="D4" s="27" t="s">
        <v>99</v>
      </c>
      <c r="E4" s="27" t="s">
        <v>112</v>
      </c>
      <c r="F4" s="28" t="s">
        <v>113</v>
      </c>
      <c r="G4" s="27" t="s">
        <v>102</v>
      </c>
      <c r="H4" s="27" t="s">
        <v>103</v>
      </c>
      <c r="I4" s="28" t="s">
        <v>104</v>
      </c>
      <c r="J4" s="27" t="s">
        <v>114</v>
      </c>
      <c r="K4" s="27" t="s">
        <v>106</v>
      </c>
      <c r="L4" s="27" t="s">
        <v>107</v>
      </c>
      <c r="M4" s="28" t="s">
        <v>108</v>
      </c>
      <c r="N4" s="29"/>
      <c r="O4" s="31"/>
      <c r="P4" s="29"/>
      <c r="Q4" s="29"/>
    </row>
    <row r="5" spans="1:17" s="13" customFormat="1">
      <c r="A5" s="27" t="s">
        <v>96</v>
      </c>
      <c r="B5" s="27" t="s">
        <v>97</v>
      </c>
      <c r="C5" s="27" t="s">
        <v>98</v>
      </c>
      <c r="D5" s="27" t="s">
        <v>99</v>
      </c>
      <c r="E5" s="27" t="s">
        <v>115</v>
      </c>
      <c r="F5" s="28" t="s">
        <v>116</v>
      </c>
      <c r="G5" s="27" t="s">
        <v>102</v>
      </c>
      <c r="H5" s="27" t="s">
        <v>103</v>
      </c>
      <c r="I5" s="28" t="s">
        <v>104</v>
      </c>
      <c r="J5" s="27" t="s">
        <v>117</v>
      </c>
      <c r="K5" s="27" t="s">
        <v>106</v>
      </c>
      <c r="L5" s="27" t="s">
        <v>107</v>
      </c>
      <c r="M5" s="28" t="s">
        <v>108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4" zoomScale="40" zoomScaleNormal="70" zoomScaleSheetLayoutView="40" zoomScalePageLayoutView="40" workbookViewId="0">
      <selection activeCell="H38" sqref="H38:V3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2022/07/22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TPC-TC(C0)-CD-22-0705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79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一號廢棄物暫存區滅火器平面圖/廣播系統昇位圖 &amp; 平面圖/火警系統昇位圖 &amp; 平面圖/避難逃生照明系統平面圖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120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55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77</v>
      </c>
      <c r="C24" s="115" t="s">
        <v>56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57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72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118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80</v>
      </c>
      <c r="B36" s="53"/>
      <c r="C36" s="53"/>
      <c r="D36" s="99" t="str">
        <f>Data1!K2</f>
        <v>施韋考  Ext.:26356</v>
      </c>
      <c r="E36" s="53"/>
      <c r="F36" s="53"/>
      <c r="G36" s="53"/>
      <c r="H36" s="101" t="str">
        <f>Data1!M2</f>
        <v>VDR-M0001-GWOJ-0050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119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78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77</v>
      </c>
      <c r="C47" s="58" t="s">
        <v>83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77</v>
      </c>
      <c r="D48" s="151" t="s">
        <v>58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59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77</v>
      </c>
      <c r="C51" s="55" t="s">
        <v>84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77</v>
      </c>
      <c r="D52" s="151" t="s">
        <v>60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59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77</v>
      </c>
      <c r="C54" s="58" t="s">
        <v>81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77</v>
      </c>
      <c r="D55" s="148" t="s">
        <v>61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59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69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62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87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63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64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65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85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66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67</v>
      </c>
      <c r="C66" s="151" t="s">
        <v>86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70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67</v>
      </c>
      <c r="C68" s="148" t="s">
        <v>82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71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88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68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73</v>
      </c>
      <c r="B1" s="77" t="s">
        <v>74</v>
      </c>
    </row>
    <row r="2" spans="1:2">
      <c r="A2" s="77" t="s">
        <v>75</v>
      </c>
      <c r="B2" s="77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8" sqref="H38:V38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2022/07/22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TPC-TC(C0)-CD-22-0705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72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105</v>
      </c>
      <c r="B10" s="158"/>
      <c r="C10" s="158"/>
      <c r="D10" s="158"/>
      <c r="E10" s="158"/>
      <c r="F10" s="159"/>
      <c r="G10" s="102" t="s">
        <v>102</v>
      </c>
      <c r="H10" s="160" t="s">
        <v>101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103</v>
      </c>
      <c r="X10" s="160" t="s">
        <v>100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102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103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102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103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102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103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89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2022-07-22T02:26:34Z</cp:lastPrinted>
  <dcterms:created xsi:type="dcterms:W3CDTF">2008-09-29T00:47:34Z</dcterms:created>
  <dcterms:modified xsi:type="dcterms:W3CDTF">2022-07-22T02:26:54Z</dcterms:modified>
</cp:coreProperties>
</file>