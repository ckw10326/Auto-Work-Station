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202207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Report!$A$1:$Z$73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7" i="8" l="1"/>
  <c r="D37" i="8" l="1"/>
  <c r="B18" i="8"/>
  <c r="X8" i="8" l="1"/>
  <c r="X7" i="8"/>
</calcChain>
</file>

<file path=xl/sharedStrings.xml><?xml version="1.0" encoding="utf-8"?>
<sst xmlns="http://schemas.openxmlformats.org/spreadsheetml/2006/main" count="187" uniqueCount="120">
  <si>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</si>
  <si>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</si>
  <si>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</si>
  <si>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</si>
  <si>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</si>
  <si>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</si>
  <si>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</si>
  <si>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</si>
  <si>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</si>
  <si>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</si>
  <si>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</si>
  <si>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</si>
  <si>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</si>
  <si>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</si>
  <si>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</si>
  <si>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</si>
  <si>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</si>
  <si>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</si>
  <si>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</si>
  <si>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</si>
  <si>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</si>
  <si>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</si>
  <si>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</si>
  <si>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</si>
  <si>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</si>
  <si>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</si>
  <si>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</si>
  <si>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</si>
  <si>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</si>
  <si>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</si>
  <si>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</si>
  <si>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</si>
  <si>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</si>
  <si>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</si>
  <si>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</si>
  <si>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</si>
  <si>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</si>
  <si>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</si>
  <si>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</si>
  <si>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</si>
  <si>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</si>
  <si>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</si>
  <si>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</si>
  <si>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</si>
  <si>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</si>
  <si>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</si>
  <si>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</si>
  <si>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</si>
  <si>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</si>
  <si>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</si>
  <si>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</si>
  <si>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</si>
  <si>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</si>
  <si>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</si>
  <si>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</si>
  <si>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</si>
  <si>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</si>
  <si>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</si>
  <si>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</si>
  <si>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</si>
  <si>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</si>
  <si>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</si>
  <si>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</si>
  <si>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</si>
  <si>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</si>
  <si>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</si>
  <si>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</si>
  <si>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</si>
  <si>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</si>
  <si>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</si>
  <si>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</si>
  <si>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</si>
  <si>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</si>
  <si>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</si>
  <si>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</si>
  <si>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</si>
  <si>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</si>
  <si>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</si>
  <si>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</si>
  <si>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</si>
  <si>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</si>
  <si>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</si>
  <si>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</si>
  <si>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</si>
  <si>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</si>
  <si>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</si>
  <si>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</si>
  <si>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</si>
  <si>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</si>
  <si>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</si>
  <si>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</si>
  <si>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</si>
  <si>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</si>
  <si>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</si>
  <si>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</si>
  <si>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</si>
  <si>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</si>
  <si>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TPC-TC(C0)-CD-22-0718</t>
  </si>
  <si>
    <t>IFA</t>
  </si>
  <si>
    <t>2022/08/25</t>
  </si>
  <si>
    <t>2022/07/25</t>
  </si>
  <si>
    <t>F0007-YPPC-0004</t>
  </si>
  <si>
    <t>Mandatory Spare Parts List for Self priming Pump</t>
  </si>
  <si>
    <t>A</t>
  </si>
  <si>
    <t>Mandatory Spare Parts List / Equipment Data Sheets / Performance curve  for Self priming Pump</t>
  </si>
  <si>
    <t>TC0-1-UMM02-A9404</t>
  </si>
  <si>
    <t>張銘洋  Ext.:24270</t>
  </si>
  <si>
    <t>I</t>
  </si>
  <si>
    <t>VDR-F0007-YPPC-0008</t>
  </si>
  <si>
    <t>F0007-YPPC-0005</t>
  </si>
  <si>
    <t>Recommended Spare Parts List for Three Years of Operation for Self priming Pump</t>
  </si>
  <si>
    <t>TC0-1-UMM02-A9405</t>
  </si>
  <si>
    <t>F0007-YPPC-0027</t>
  </si>
  <si>
    <t>Equipment Data Sheets for Self priming Pump</t>
  </si>
  <si>
    <t>TC0-1-UMM02-S9427</t>
  </si>
  <si>
    <t>R</t>
  </si>
  <si>
    <t>F0007-YPPC-0028</t>
  </si>
  <si>
    <t>Performance curve for Self priming Pump</t>
  </si>
  <si>
    <t>TC0-1-UMM02-S9428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</si>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</sst>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datory%20Spare%20Parts%20List%20/%20Equipment%20Data%20Sheets%20/%20Performance%20curve%20%20for%20Self%20priming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38</xdr:row>
      <xdr:rowOff>95250</xdr:rowOff>
    </xdr:from>
    <xdr:to>
      <xdr:col>25</xdr:col>
      <xdr:colOff>698668</xdr:colOff>
      <xdr:row>41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27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27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27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115</v>
      </c>
      <c r="M4" s="27" t="s">
        <v>108</v>
      </c>
      <c r="N4" s="28"/>
      <c r="O4" s="30"/>
      <c r="P4" s="28"/>
      <c r="Q4" s="28"/>
    </row>
    <row r="5" spans="1:17" s="13" customFormat="1">
      <c r="A5" s="26" t="s">
        <v>97</v>
      </c>
      <c r="B5" s="26" t="s">
        <v>98</v>
      </c>
      <c r="C5" s="26" t="s">
        <v>99</v>
      </c>
      <c r="D5" s="26" t="s">
        <v>100</v>
      </c>
      <c r="E5" s="26" t="s">
        <v>116</v>
      </c>
      <c r="F5" s="27" t="s">
        <v>117</v>
      </c>
      <c r="G5" s="26" t="s">
        <v>27</v>
      </c>
      <c r="H5" s="26" t="s">
        <v>103</v>
      </c>
      <c r="I5" s="27" t="s">
        <v>104</v>
      </c>
      <c r="J5" s="26" t="s">
        <v>118</v>
      </c>
      <c r="K5" s="26" t="s">
        <v>106</v>
      </c>
      <c r="L5" s="26" t="s">
        <v>115</v>
      </c>
      <c r="M5" s="27" t="s">
        <v>108</v>
      </c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3"/>
  <sheetViews>
    <sheetView tabSelected="1" view="pageBreakPreview" zoomScale="40" zoomScaleNormal="70" zoomScaleSheetLayoutView="40" zoomScalePageLayoutView="40" workbookViewId="0">
      <selection activeCell="K42" sqref="K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12" t="str">
        <f>Data1!D2</f>
        <v>2022/07/25</v>
      </c>
      <c r="Y7" s="113"/>
      <c r="Z7" s="113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14" t="str">
        <f>Data1!A2</f>
        <v>TPC-TC(C0)-CD-22-0718</v>
      </c>
      <c r="Y8" s="106"/>
      <c r="Z8" s="106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37</v>
      </c>
      <c r="B18" s="107" t="str">
        <f>Data1!I2</f>
        <v>Mandatory Spare Parts List / Equipment Data Sheets / Performance curve  for Self priming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81" customHeight="1">
      <c r="A32" s="139" t="s">
        <v>105</v>
      </c>
      <c r="B32" s="140"/>
      <c r="C32" s="140"/>
      <c r="D32" s="140"/>
      <c r="E32" s="140"/>
      <c r="F32" s="141"/>
      <c r="G32" s="92" t="s">
        <v>119</v>
      </c>
      <c r="H32" s="142" t="s">
        <v>102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103</v>
      </c>
      <c r="X32" s="142" t="s">
        <v>101</v>
      </c>
      <c r="Y32" s="143"/>
      <c r="Z32" s="144"/>
    </row>
    <row r="33" spans="1:28" s="34" customFormat="1" ht="81" customHeight="1">
      <c r="A33" s="139" t="s">
        <v>111</v>
      </c>
      <c r="B33" s="140"/>
      <c r="C33" s="140"/>
      <c r="D33" s="140"/>
      <c r="E33" s="140"/>
      <c r="F33" s="141"/>
      <c r="G33" s="92" t="s">
        <v>119</v>
      </c>
      <c r="H33" s="142" t="s">
        <v>110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103</v>
      </c>
      <c r="X33" s="142" t="s">
        <v>109</v>
      </c>
      <c r="Y33" s="143"/>
      <c r="Z33" s="144"/>
    </row>
    <row r="34" spans="1:28" s="34" customFormat="1" ht="81" customHeight="1">
      <c r="A34" s="139" t="s">
        <v>114</v>
      </c>
      <c r="B34" s="140"/>
      <c r="C34" s="140"/>
      <c r="D34" s="140"/>
      <c r="E34" s="140"/>
      <c r="F34" s="141"/>
      <c r="G34" s="92" t="s">
        <v>119</v>
      </c>
      <c r="H34" s="142" t="s">
        <v>113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103</v>
      </c>
      <c r="X34" s="142" t="s">
        <v>112</v>
      </c>
      <c r="Y34" s="143"/>
      <c r="Z34" s="144"/>
    </row>
    <row r="35" spans="1:28" s="34" customFormat="1" ht="81" customHeight="1">
      <c r="A35" s="139" t="s">
        <v>118</v>
      </c>
      <c r="B35" s="140"/>
      <c r="C35" s="140"/>
      <c r="D35" s="140"/>
      <c r="E35" s="140"/>
      <c r="F35" s="141"/>
      <c r="G35" s="92" t="s">
        <v>119</v>
      </c>
      <c r="H35" s="142" t="s">
        <v>117</v>
      </c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4"/>
      <c r="W35" s="93" t="s">
        <v>103</v>
      </c>
      <c r="X35" s="142" t="s">
        <v>116</v>
      </c>
      <c r="Y35" s="143"/>
      <c r="Z35" s="144"/>
    </row>
    <row r="36" spans="1:28" s="34" customFormat="1" ht="33.950000000000003" customHeight="1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41"/>
      <c r="X36" s="48"/>
      <c r="Y36" s="48"/>
      <c r="Z36" s="48"/>
      <c r="AA36" s="42"/>
      <c r="AB36" s="41"/>
    </row>
    <row r="37" spans="1:28" s="34" customFormat="1" ht="33.950000000000003" customHeight="1">
      <c r="A37" s="49" t="s">
        <v>82</v>
      </c>
      <c r="B37" s="49"/>
      <c r="C37" s="49"/>
      <c r="D37" s="89" t="str">
        <f>Data1!K2</f>
        <v>張銘洋  Ext.:24270</v>
      </c>
      <c r="E37" s="49"/>
      <c r="F37" s="49"/>
      <c r="G37" s="49"/>
      <c r="H37" s="91" t="str">
        <f>Data1!M2</f>
        <v>VDR-F0007-YPPC-0008</v>
      </c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128" t="s">
        <v>52</v>
      </c>
      <c r="W37" s="110"/>
      <c r="X37" s="110"/>
      <c r="Y37" s="110"/>
      <c r="Z37" s="110"/>
      <c r="AA37" s="81"/>
      <c r="AB37" s="48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127"/>
      <c r="B39" s="97"/>
      <c r="C39" s="97"/>
      <c r="D39" s="97"/>
      <c r="E39" s="97"/>
      <c r="F39" s="97"/>
      <c r="G39" s="38"/>
      <c r="H39" s="12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75"/>
      <c r="B40" s="74"/>
      <c r="C40" s="74"/>
      <c r="D40" s="74"/>
      <c r="E40" s="74"/>
      <c r="F40" s="74"/>
      <c r="G40" s="75"/>
      <c r="H40" s="75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12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69"/>
      <c r="X41" s="69"/>
      <c r="Y41" s="69"/>
      <c r="Z41" s="69"/>
      <c r="AA41" s="70"/>
      <c r="AB41" s="41"/>
    </row>
    <row r="42" spans="1:28" s="34" customFormat="1" ht="33.950000000000003" customHeight="1">
      <c r="A42" s="127"/>
      <c r="B42" s="97"/>
      <c r="C42" s="97"/>
      <c r="D42" s="97"/>
      <c r="E42" s="97"/>
      <c r="F42" s="97"/>
      <c r="G42" s="38"/>
      <c r="H42" s="78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80"/>
      <c r="W42" s="71"/>
      <c r="X42" s="71"/>
      <c r="Y42" s="72"/>
      <c r="Z42" s="72"/>
      <c r="AA42" s="76"/>
      <c r="AB42" s="41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53</v>
      </c>
      <c r="W43" s="106"/>
      <c r="X43" s="106"/>
      <c r="Y43" s="106"/>
      <c r="Z43" s="106"/>
      <c r="AA43" s="77"/>
      <c r="AB43" s="50"/>
    </row>
    <row r="44" spans="1:28" s="34" customFormat="1" ht="33.950000000000003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128" t="s">
        <v>0</v>
      </c>
      <c r="W44" s="129"/>
      <c r="X44" s="129"/>
      <c r="Y44" s="129"/>
      <c r="Z44" s="129"/>
      <c r="AA44" s="77"/>
      <c r="AB44" s="50"/>
    </row>
    <row r="45" spans="1:28" s="34" customFormat="1" ht="33.950000000000003" customHeight="1">
      <c r="A45" s="51" t="s">
        <v>49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2"/>
      <c r="U45" s="52"/>
      <c r="V45" s="52"/>
      <c r="W45" s="52"/>
      <c r="X45" s="52"/>
      <c r="Y45" s="52"/>
      <c r="Z45" s="52"/>
      <c r="AA45" s="53"/>
      <c r="AB45" s="52"/>
    </row>
    <row r="46" spans="1:28" s="34" customFormat="1" ht="79.5" customHeight="1">
      <c r="A46" s="126" t="s">
        <v>79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133" t="s">
        <v>80</v>
      </c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</row>
    <row r="48" spans="1:28" s="34" customFormat="1" ht="41.25" customHeight="1">
      <c r="A48" s="54"/>
      <c r="B48" s="55" t="s">
        <v>77</v>
      </c>
      <c r="C48" s="54" t="s">
        <v>85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6"/>
      <c r="U48" s="56"/>
      <c r="V48" s="56"/>
      <c r="W48" s="56"/>
      <c r="X48" s="56"/>
      <c r="Y48" s="56"/>
      <c r="Z48" s="56"/>
      <c r="AA48" s="57"/>
      <c r="AB48" s="56"/>
    </row>
    <row r="49" spans="1:28" s="34" customFormat="1" ht="41.25" customHeight="1">
      <c r="A49" s="54"/>
      <c r="B49" s="55"/>
      <c r="C49" s="58" t="s">
        <v>77</v>
      </c>
      <c r="D49" s="133" t="s">
        <v>58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8"/>
      <c r="D50" s="133" t="s">
        <v>59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4"/>
      <c r="B51" s="55"/>
      <c r="C51" s="55" t="s">
        <v>54</v>
      </c>
      <c r="D51" s="134" t="s">
        <v>50</v>
      </c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  <c r="AB51" s="134"/>
    </row>
    <row r="52" spans="1:28" s="34" customFormat="1" ht="41.25" customHeight="1">
      <c r="A52" s="51"/>
      <c r="B52" s="59" t="s">
        <v>77</v>
      </c>
      <c r="C52" s="51" t="s">
        <v>86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2"/>
      <c r="W52" s="52"/>
      <c r="X52" s="52"/>
      <c r="Y52" s="52"/>
      <c r="Z52" s="52"/>
      <c r="AA52" s="53"/>
      <c r="AB52" s="52"/>
    </row>
    <row r="53" spans="1:28" s="34" customFormat="1" ht="41.25" customHeight="1">
      <c r="A53" s="54"/>
      <c r="B53" s="55"/>
      <c r="C53" s="60" t="s">
        <v>77</v>
      </c>
      <c r="D53" s="133" t="s">
        <v>60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55"/>
      <c r="C54" s="61"/>
      <c r="D54" s="133" t="s">
        <v>59</v>
      </c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  <c r="AB54" s="134"/>
    </row>
    <row r="55" spans="1:28" s="34" customFormat="1" ht="41.25" customHeight="1">
      <c r="A55" s="54"/>
      <c r="B55" s="60" t="s">
        <v>77</v>
      </c>
      <c r="C55" s="54" t="s">
        <v>83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6"/>
      <c r="W55" s="56"/>
      <c r="X55" s="56"/>
      <c r="Y55" s="56"/>
      <c r="Z55" s="56"/>
      <c r="AA55" s="57"/>
      <c r="AB55" s="56"/>
    </row>
    <row r="56" spans="1:28" s="34" customFormat="1" ht="41.25" customHeight="1">
      <c r="A56" s="54"/>
      <c r="B56" s="55"/>
      <c r="C56" s="58" t="s">
        <v>77</v>
      </c>
      <c r="D56" s="130" t="s">
        <v>61</v>
      </c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</row>
    <row r="57" spans="1:28" s="34" customFormat="1" ht="41.25" customHeight="1">
      <c r="A57" s="54"/>
      <c r="B57" s="55"/>
      <c r="C57" s="61"/>
      <c r="D57" s="133" t="s">
        <v>59</v>
      </c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</row>
    <row r="58" spans="1:28" s="34" customFormat="1" ht="41.25" customHeight="1">
      <c r="A58" s="54"/>
      <c r="B58" s="55"/>
      <c r="C58" s="60" t="s">
        <v>54</v>
      </c>
      <c r="D58" s="54" t="s">
        <v>51</v>
      </c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6"/>
      <c r="W58" s="56"/>
      <c r="X58" s="56"/>
      <c r="Y58" s="56"/>
      <c r="Z58" s="56"/>
      <c r="AA58" s="57"/>
      <c r="AB58" s="56"/>
    </row>
    <row r="59" spans="1:28" s="34" customFormat="1" ht="41.25" customHeight="1">
      <c r="A59" s="54"/>
      <c r="B59" s="59"/>
      <c r="C59" s="62" t="s">
        <v>40</v>
      </c>
      <c r="D59" s="132" t="s">
        <v>69</v>
      </c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</row>
    <row r="60" spans="1:28" s="34" customFormat="1" ht="41.25" customHeight="1">
      <c r="A60" s="54"/>
      <c r="B60" s="55"/>
      <c r="C60" s="61"/>
      <c r="D60" s="133" t="s">
        <v>62</v>
      </c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/>
      <c r="AB60" s="134"/>
    </row>
    <row r="61" spans="1:28" s="34" customFormat="1" ht="41.25" customHeight="1">
      <c r="A61" s="54"/>
      <c r="B61" s="60" t="s">
        <v>54</v>
      </c>
      <c r="C61" s="90" t="s">
        <v>89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6"/>
      <c r="W61" s="56"/>
      <c r="X61" s="56"/>
      <c r="Y61" s="56"/>
      <c r="Z61" s="56"/>
      <c r="AA61" s="57"/>
      <c r="AB61" s="56"/>
    </row>
    <row r="62" spans="1:28" s="34" customFormat="1" ht="41.25" customHeight="1">
      <c r="A62" s="54"/>
      <c r="B62" s="55"/>
      <c r="C62" s="60" t="s">
        <v>54</v>
      </c>
      <c r="D62" s="133" t="s">
        <v>63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54"/>
      <c r="B63" s="55"/>
      <c r="C63" s="61"/>
      <c r="D63" s="133" t="s">
        <v>64</v>
      </c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  <c r="AB63" s="134"/>
    </row>
    <row r="64" spans="1:28" s="34" customFormat="1" ht="41.25" customHeight="1">
      <c r="A64" s="63" t="s">
        <v>65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6"/>
      <c r="W64" s="56"/>
      <c r="X64" s="56"/>
      <c r="Y64" s="56"/>
      <c r="Z64" s="56"/>
      <c r="AA64" s="57"/>
      <c r="AB64" s="56"/>
    </row>
    <row r="65" spans="1:28" s="34" customFormat="1" ht="41.25" customHeight="1">
      <c r="A65" s="54"/>
      <c r="B65" s="64" t="s">
        <v>54</v>
      </c>
      <c r="C65" s="133" t="s">
        <v>87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5"/>
      <c r="V65" s="135"/>
      <c r="W65" s="135"/>
      <c r="X65" s="135"/>
      <c r="Y65" s="136"/>
      <c r="Z65" s="136"/>
      <c r="AA65" s="136"/>
      <c r="AB65" s="56"/>
    </row>
    <row r="66" spans="1:28" s="34" customFormat="1" ht="41.25" customHeight="1">
      <c r="A66" s="54"/>
      <c r="B66" s="64"/>
      <c r="C66" s="133" t="s">
        <v>66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5" t="s">
        <v>67</v>
      </c>
      <c r="C67" s="133" t="s">
        <v>88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4"/>
      <c r="C68" s="133" t="s">
        <v>70</v>
      </c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56"/>
    </row>
    <row r="69" spans="1:28" s="34" customFormat="1" ht="41.25" customHeight="1">
      <c r="A69" s="54"/>
      <c r="B69" s="65" t="s">
        <v>67</v>
      </c>
      <c r="C69" s="130" t="s">
        <v>84</v>
      </c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56"/>
    </row>
    <row r="70" spans="1:28" s="34" customFormat="1" ht="41.25" customHeight="1">
      <c r="A70" s="54"/>
      <c r="B70" s="64"/>
      <c r="C70" s="133" t="s">
        <v>71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60.75" customHeight="1">
      <c r="A71" s="54"/>
      <c r="B71" s="64" t="s">
        <v>40</v>
      </c>
      <c r="C71" s="138" t="s">
        <v>90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s="34" customFormat="1" ht="41.25" customHeight="1">
      <c r="A72" s="54"/>
      <c r="B72" s="64"/>
      <c r="C72" s="133" t="s">
        <v>68</v>
      </c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56"/>
    </row>
    <row r="73" spans="1:28" ht="33.950000000000003" customHeight="1">
      <c r="A73" s="21"/>
      <c r="B73" s="24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22"/>
      <c r="Z73" s="22"/>
      <c r="AA73" s="23"/>
      <c r="AB73" s="22"/>
    </row>
  </sheetData>
  <mergeCells count="63">
    <mergeCell ref="V37:Z37"/>
    <mergeCell ref="C73:X73"/>
    <mergeCell ref="C71:AA71"/>
    <mergeCell ref="C69:AA69"/>
    <mergeCell ref="C72:AA72"/>
    <mergeCell ref="C70:AA70"/>
    <mergeCell ref="C68:AA68"/>
    <mergeCell ref="C66:AA66"/>
    <mergeCell ref="C67:AA67"/>
    <mergeCell ref="A47:AB47"/>
    <mergeCell ref="D50:AB50"/>
    <mergeCell ref="D54:AB54"/>
    <mergeCell ref="D57:AB57"/>
    <mergeCell ref="D49:AB49"/>
    <mergeCell ref="D51:AB51"/>
    <mergeCell ref="D53:AB53"/>
    <mergeCell ref="D56:AB56"/>
    <mergeCell ref="D59:AB59"/>
    <mergeCell ref="D62:AB62"/>
    <mergeCell ref="C65:AA65"/>
    <mergeCell ref="D60:AB60"/>
    <mergeCell ref="D63:AB63"/>
    <mergeCell ref="A33:F33"/>
    <mergeCell ref="H33:V33"/>
    <mergeCell ref="X33:Z33"/>
    <mergeCell ref="A35:F35"/>
    <mergeCell ref="H35:V35"/>
    <mergeCell ref="X35:Z35"/>
    <mergeCell ref="A34:F34"/>
    <mergeCell ref="H34:V34"/>
    <mergeCell ref="X34:Z34"/>
    <mergeCell ref="A46:AB46"/>
    <mergeCell ref="A38:F38"/>
    <mergeCell ref="A39:F39"/>
    <mergeCell ref="A41:F41"/>
    <mergeCell ref="A42:F42"/>
    <mergeCell ref="V43:Z43"/>
    <mergeCell ref="V44:Z44"/>
    <mergeCell ref="H38:V38"/>
    <mergeCell ref="H39:V39"/>
    <mergeCell ref="H41:V41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2022-07-25T07:10:43Z</cp:lastPrinted>
  <dcterms:created xsi:type="dcterms:W3CDTF">2008-09-29T00:47:34Z</dcterms:created>
  <dcterms:modified xsi:type="dcterms:W3CDTF">2022-07-25T07:10:51Z</dcterms:modified>
</cp:coreProperties>
</file>