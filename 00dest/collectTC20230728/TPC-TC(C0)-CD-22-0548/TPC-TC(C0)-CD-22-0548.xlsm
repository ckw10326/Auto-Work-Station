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Y5" i="10" l="1"/>
</calcChain>
</file>

<file path=xl/sharedStrings.xml><?xml version="1.0" encoding="utf-8"?>
<sst xmlns="http://schemas.openxmlformats.org/spreadsheetml/2006/main" count="398" uniqueCount="154">
  <si>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</si>
  <si>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</si>
  <si>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</si>
  <si>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</si>
  <si>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</si>
  <si>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</si>
  <si>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</si>
  <si>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</si>
  <si>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</si>
  <si>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</si>
  <si>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</si>
  <si>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</si>
  <si>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</si>
  <si>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</si>
  <si>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</si>
  <si>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</si>
  <si>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</si>
  <si>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</si>
  <si>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</si>
  <si>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</si>
  <si>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</si>
  <si>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</si>
  <si>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</si>
  <si>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</si>
  <si>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</si>
  <si>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</si>
  <si>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</si>
  <si>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</si>
  <si>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</si>
  <si>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</si>
  <si>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</si>
  <si>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</si>
  <si>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</si>
  <si>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</si>
  <si>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</si>
  <si>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</si>
  <si>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</si>
  <si>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</si>
  <si>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</si>
  <si>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</si>
  <si>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</si>
  <si>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</si>
  <si>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</si>
  <si>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</si>
  <si>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</si>
  <si>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</si>
  <si>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</si>
  <si>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</si>
  <si>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</si>
  <si>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</si>
  <si>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</si>
  <si>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</si>
  <si>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</si>
  <si>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</si>
  <si>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</si>
  <si>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</si>
  <si>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</si>
  <si>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</si>
  <si>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</si>
  <si>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</si>
  <si>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</si>
  <si>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</si>
  <si>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</si>
  <si>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</si>
  <si>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</si>
  <si>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</si>
  <si>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</si>
  <si>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</si>
  <si>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</si>
  <si>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</si>
  <si>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</si>
  <si>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</si>
  <si>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</si>
  <si>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</si>
  <si>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</si>
  <si>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</si>
  <si>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</si>
  <si>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</si>
  <si>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</si>
  <si>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</si>
  <si>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</si>
  <si>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</si>
  <si>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</si>
  <si>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</si>
  <si>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</si>
  <si>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</si>
  <si>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</si>
  <si>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</si>
  <si>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</si>
  <si>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</si>
  <si>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</si>
  <si>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</si>
  <si>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</si>
  <si>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</si>
  <si>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</si>
  <si>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</si>
  <si>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</si>
  <si>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TPC-TC(C0)-CD-22-0548</t>
  </si>
  <si>
    <t>IFA</t>
  </si>
  <si>
    <t>2022/07/23</t>
  </si>
  <si>
    <t>XF51B-3300-001</t>
  </si>
  <si>
    <t>中央控制大樓(BLD-3302)地下層平面圖 MAIN CONTROL BUILDING (BLD-3302) GENERAL ARRANGEMENT BASEMENT FLOOR PLAN</t>
  </si>
  <si>
    <t>B</t>
  </si>
  <si>
    <t>A</t>
  </si>
  <si>
    <t>中央控制大樓 Main Control Building (BLD-3302) - General Arrangement_RB</t>
  </si>
  <si>
    <t>TC0-1-AOC02-D5901</t>
  </si>
  <si>
    <t>陳博仁  Ext.:23341</t>
  </si>
  <si>
    <t>CB-0288</t>
  </si>
  <si>
    <t>XF51B-3300-002</t>
  </si>
  <si>
    <t>中央控制大樓(BLD-3302)一層平面圖 MAIN CONTROL BUILDING (BLD-3302) GENERAL ARRANGEMENT GROUND FLOOR PLAN</t>
  </si>
  <si>
    <t>TC0-1-AOC02-D5902</t>
  </si>
  <si>
    <t>XF51B-3300-003</t>
  </si>
  <si>
    <t>中央控制大樓(BLD-3302)二層平面圖 MAIN CONTROL BUILDING (BLD-3302) GENERAL ARRANGEMENT SECOND FLOOR PLAN</t>
  </si>
  <si>
    <t>TC0-1-AOC02-D5903</t>
  </si>
  <si>
    <t>XF51B-3300-004</t>
  </si>
  <si>
    <t>中央控制大樓(BLD-3302)三層平面圖 MAIN CONTROL BUILDING (BLD-3302) GENERAL ARRANGEMENT THIRD FLOOR PLAN</t>
  </si>
  <si>
    <t>TC0-1-AOC02-D5904</t>
  </si>
  <si>
    <t>XF51B-3300-005</t>
  </si>
  <si>
    <t>中央控制大樓(BLD-3302)四層平面圖 MAIN CONTROL BUILDING (BLD-3302) GENERAL ARRANGEMENT FOURTH FLOOR PLAN</t>
  </si>
  <si>
    <t>TC0-1-AOC02-D5905</t>
  </si>
  <si>
    <t>XF51B-3300-006</t>
  </si>
  <si>
    <t>中央控制大樓(BLD-3302)五層平面圖 MAIN CONTROL BUILDING (BLD-3302) GENERAL ARRANGEMENT FIFTH FLOOR PLAN</t>
  </si>
  <si>
    <t>TC0-1-AOC02-D5906</t>
  </si>
  <si>
    <t>XF51B-3300-007</t>
  </si>
  <si>
    <t>中央控制大樓(BLD-3302)六層平面圖 MAIN CONTROL BUILDING (BLD-3302) GENERAL ARRANGEMENT SIXTH FLOOR PLAN</t>
  </si>
  <si>
    <t>TC0-1-AOC02-D5907</t>
  </si>
  <si>
    <t>XF51B-3300-008</t>
  </si>
  <si>
    <t>中央控制大樓(BLD-3302)七層平面圖 MAIN CONTROL BUILDING (BLD-3302) GENERAL ARRANGEMENT SEVENTH FLOOR PLAN</t>
  </si>
  <si>
    <t>TC0-1-AOC02-D5908</t>
  </si>
  <si>
    <t>XF51B-3300-009</t>
  </si>
  <si>
    <t>中央控制大樓(BLD-3302)八層平面圖 MAIN CONTROL BUILDING (BLD-3302) GENERAL ARRANGEMENT EIGHTH FLOOR PLAN</t>
  </si>
  <si>
    <t>TC0-1-AOC02-D5909</t>
  </si>
  <si>
    <t>XF51B-3300-010</t>
  </si>
  <si>
    <t>中央控制大樓(BLD-3302)屋頂層平面圖 MAIN CONTROL BUILDING (BLD-3302) GENERAL ARRANGEMENT ROOF FLOOR PLAN</t>
  </si>
  <si>
    <t>TC0-1-AOC02-D5910</t>
  </si>
  <si>
    <t>XF51B-3300-012</t>
  </si>
  <si>
    <t>中央控制大樓(BLD-3302)立面圖(1/3) MAIN CONTROL BUILDING (BLD-3302) GENERAL ARRANGEMENT ELEVATIONS (1/3)</t>
  </si>
  <si>
    <t>TC0-1-AOC02-D5912</t>
  </si>
  <si>
    <t>XF51B-3300-013</t>
  </si>
  <si>
    <t>中央控制大樓(BLD-3302)立面圖(2/3) MAIN CONTROL BUILDING (BLD-3302) GENERAL ARRANGEMENT ELEVATIONS (2/3)</t>
  </si>
  <si>
    <t>TC0-1-AOC02-D5913</t>
  </si>
  <si>
    <t>XF51B-3300-014</t>
  </si>
  <si>
    <t>中央控制大樓(BLD-3302)立面圖(3/3) MAIN CONTROL BUILDING (BLD-3302) GENERAL ARRANGEMENT ELEVATIONS (3/3)</t>
  </si>
  <si>
    <t>TC0-1-AOC02-D5914</t>
  </si>
  <si>
    <t>XF51B-3300-016</t>
  </si>
  <si>
    <t>中央控制大樓(BLD-3302)剖面圖(1/2) MAIN CONTROL BUILDING (BLD-3302) GENERAL ARRANGEMENT SECTIONS (1/2)</t>
  </si>
  <si>
    <t>TC0-1-AOC02-D5916</t>
  </si>
  <si>
    <t>XF51B-3300-017</t>
  </si>
  <si>
    <t>中央控制大樓(BLD-3302)剖面圖(2/2) MAIN CONTROL BUILDING (BLD-3302) GENERAL ARRANGEMENT SECTIONS (2/2)</t>
  </si>
  <si>
    <t>TC0-1-AOC02-D5917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</si>
  <si>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</si>
  <si>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</si>
  <si>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2022/06/23</t>
    <phoneticPr fontId="3" type="noConversion"/>
  </si>
  <si>
    <t>2022/06/23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</si>
</sst>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14" fontId="23" fillId="0" borderId="0" xfId="6" applyNumberFormat="1" applyFont="1" applyAlignme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%20Main%20Control%20Building%20(BLD-3302)%20-%20General%20Arrangement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28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28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28" t="s">
        <v>103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28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28" t="s">
        <v>103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28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28" t="s">
        <v>103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28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28" t="s">
        <v>103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28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28" t="s">
        <v>103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28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28" t="s">
        <v>103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28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28" t="s">
        <v>103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28</v>
      </c>
      <c r="E10" s="76" t="s">
        <v>129</v>
      </c>
      <c r="F10" s="76" t="s">
        <v>130</v>
      </c>
      <c r="G10" s="76" t="s">
        <v>102</v>
      </c>
      <c r="H10" s="76" t="s">
        <v>103</v>
      </c>
      <c r="I10" s="76" t="s">
        <v>104</v>
      </c>
      <c r="J10" s="76" t="s">
        <v>131</v>
      </c>
      <c r="K10" s="76" t="s">
        <v>106</v>
      </c>
      <c r="L10" s="76" t="s">
        <v>107</v>
      </c>
      <c r="M10" s="76" t="s">
        <v>103</v>
      </c>
    </row>
    <row r="11" spans="1:17">
      <c r="A11" s="76" t="s">
        <v>97</v>
      </c>
      <c r="B11" s="76" t="s">
        <v>98</v>
      </c>
      <c r="C11" s="76" t="s">
        <v>99</v>
      </c>
      <c r="D11" s="76" t="s">
        <v>28</v>
      </c>
      <c r="E11" s="76" t="s">
        <v>132</v>
      </c>
      <c r="F11" s="76" t="s">
        <v>133</v>
      </c>
      <c r="G11" s="76" t="s">
        <v>102</v>
      </c>
      <c r="H11" s="76" t="s">
        <v>103</v>
      </c>
      <c r="I11" s="76" t="s">
        <v>104</v>
      </c>
      <c r="J11" s="76" t="s">
        <v>134</v>
      </c>
      <c r="K11" s="76" t="s">
        <v>106</v>
      </c>
      <c r="L11" s="76" t="s">
        <v>107</v>
      </c>
      <c r="M11" s="76" t="s">
        <v>103</v>
      </c>
    </row>
    <row r="12" spans="1:17">
      <c r="A12" s="76" t="s">
        <v>97</v>
      </c>
      <c r="B12" s="76" t="s">
        <v>98</v>
      </c>
      <c r="C12" s="76" t="s">
        <v>99</v>
      </c>
      <c r="D12" s="76" t="s">
        <v>28</v>
      </c>
      <c r="E12" s="76" t="s">
        <v>135</v>
      </c>
      <c r="F12" s="76" t="s">
        <v>136</v>
      </c>
      <c r="G12" s="76" t="s">
        <v>102</v>
      </c>
      <c r="H12" s="76" t="s">
        <v>103</v>
      </c>
      <c r="I12" s="76" t="s">
        <v>104</v>
      </c>
      <c r="J12" s="76" t="s">
        <v>137</v>
      </c>
      <c r="K12" s="76" t="s">
        <v>106</v>
      </c>
      <c r="L12" s="76" t="s">
        <v>107</v>
      </c>
      <c r="M12" s="76" t="s">
        <v>103</v>
      </c>
    </row>
    <row r="13" spans="1:17">
      <c r="A13" s="76" t="s">
        <v>97</v>
      </c>
      <c r="B13" s="76" t="s">
        <v>98</v>
      </c>
      <c r="C13" s="76" t="s">
        <v>99</v>
      </c>
      <c r="D13" s="76" t="s">
        <v>28</v>
      </c>
      <c r="E13" s="76" t="s">
        <v>138</v>
      </c>
      <c r="F13" s="76" t="s">
        <v>139</v>
      </c>
      <c r="G13" s="76" t="s">
        <v>102</v>
      </c>
      <c r="H13" s="76" t="s">
        <v>103</v>
      </c>
      <c r="I13" s="76" t="s">
        <v>104</v>
      </c>
      <c r="J13" s="76" t="s">
        <v>140</v>
      </c>
      <c r="K13" s="76" t="s">
        <v>106</v>
      </c>
      <c r="L13" s="76" t="s">
        <v>107</v>
      </c>
      <c r="M13" s="76" t="s">
        <v>103</v>
      </c>
    </row>
    <row r="14" spans="1:17">
      <c r="A14" s="76" t="s">
        <v>97</v>
      </c>
      <c r="B14" s="76" t="s">
        <v>98</v>
      </c>
      <c r="C14" s="76" t="s">
        <v>99</v>
      </c>
      <c r="D14" s="76" t="s">
        <v>28</v>
      </c>
      <c r="E14" s="76" t="s">
        <v>141</v>
      </c>
      <c r="F14" s="76" t="s">
        <v>142</v>
      </c>
      <c r="G14" s="76" t="s">
        <v>102</v>
      </c>
      <c r="H14" s="76" t="s">
        <v>103</v>
      </c>
      <c r="I14" s="76" t="s">
        <v>104</v>
      </c>
      <c r="J14" s="76" t="s">
        <v>143</v>
      </c>
      <c r="K14" s="76" t="s">
        <v>106</v>
      </c>
      <c r="L14" s="76" t="s">
        <v>107</v>
      </c>
      <c r="M14" s="76" t="s">
        <v>103</v>
      </c>
    </row>
    <row r="15" spans="1:17">
      <c r="A15" s="76" t="s">
        <v>97</v>
      </c>
      <c r="B15" s="76" t="s">
        <v>98</v>
      </c>
      <c r="C15" s="76" t="s">
        <v>99</v>
      </c>
      <c r="D15" s="76" t="s">
        <v>28</v>
      </c>
      <c r="E15" s="76" t="s">
        <v>144</v>
      </c>
      <c r="F15" s="76" t="s">
        <v>145</v>
      </c>
      <c r="G15" s="76" t="s">
        <v>102</v>
      </c>
      <c r="H15" s="76" t="s">
        <v>103</v>
      </c>
      <c r="I15" s="76" t="s">
        <v>104</v>
      </c>
      <c r="J15" s="76" t="s">
        <v>146</v>
      </c>
      <c r="K15" s="76" t="s">
        <v>106</v>
      </c>
      <c r="L15" s="76" t="s">
        <v>107</v>
      </c>
      <c r="M15" s="76" t="s">
        <v>103</v>
      </c>
    </row>
    <row r="16" spans="1:17">
      <c r="A16" s="76" t="s">
        <v>97</v>
      </c>
      <c r="B16" s="76" t="s">
        <v>98</v>
      </c>
      <c r="C16" s="76" t="s">
        <v>99</v>
      </c>
      <c r="D16" s="76" t="s">
        <v>28</v>
      </c>
      <c r="E16" s="76" t="s">
        <v>147</v>
      </c>
      <c r="F16" s="76" t="s">
        <v>148</v>
      </c>
      <c r="G16" s="76" t="s">
        <v>102</v>
      </c>
      <c r="H16" s="76" t="s">
        <v>103</v>
      </c>
      <c r="I16" s="76" t="s">
        <v>104</v>
      </c>
      <c r="J16" s="76" t="s">
        <v>149</v>
      </c>
      <c r="K16" s="76" t="s">
        <v>106</v>
      </c>
      <c r="L16" s="76" t="s">
        <v>107</v>
      </c>
      <c r="M16" s="76" t="s">
        <v>103</v>
      </c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12" sqref="L1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0" t="s">
        <v>29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41"/>
      <c r="Z5" s="142"/>
      <c r="AA5" s="142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47"/>
      <c r="Y6" s="124"/>
      <c r="Z6" s="124"/>
      <c r="AA6" s="124"/>
      <c r="AB6" s="12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52" t="s">
        <v>152</v>
      </c>
      <c r="Y7" s="153"/>
      <c r="Z7" s="153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54" t="str">
        <f>Data1!A2</f>
        <v>TPC-TC(C0)-CD-22-0548</v>
      </c>
      <c r="Y8" s="124"/>
      <c r="Z8" s="124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50" t="s">
        <v>82</v>
      </c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87"/>
      <c r="AB16" s="87"/>
    </row>
    <row r="17" spans="1:28" s="35" customFormat="1" ht="47.25" customHeight="1">
      <c r="A17" s="151" t="s">
        <v>37</v>
      </c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88"/>
      <c r="AB17" s="88"/>
    </row>
    <row r="18" spans="1:28" s="35" customFormat="1" ht="82.5" customHeight="1">
      <c r="A18" s="69" t="s">
        <v>38</v>
      </c>
      <c r="B18" s="148" t="str">
        <f>Data1!I2</f>
        <v>中央控制大樓 Main Control Building (BLD-3302) - General Arrangement_RB</v>
      </c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44" t="s">
        <v>150</v>
      </c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</row>
    <row r="23" spans="1:28" s="35" customFormat="1" ht="39.75" customHeight="1">
      <c r="A23" s="144" t="s">
        <v>58</v>
      </c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</row>
    <row r="24" spans="1:28" s="35" customFormat="1" ht="39.75" customHeight="1">
      <c r="A24" s="41"/>
      <c r="B24" s="45" t="s">
        <v>80</v>
      </c>
      <c r="C24" s="146" t="s">
        <v>59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</row>
    <row r="25" spans="1:28" s="35" customFormat="1" ht="39.75" customHeight="1">
      <c r="A25" s="41"/>
      <c r="B25" s="45" t="s">
        <v>41</v>
      </c>
      <c r="C25" s="139" t="s">
        <v>42</v>
      </c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37" t="s">
        <v>43</v>
      </c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37"/>
      <c r="B29" s="137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41"/>
      <c r="Y29" s="42"/>
      <c r="Z29" s="42"/>
      <c r="AA29" s="43"/>
      <c r="AB29" s="42"/>
    </row>
    <row r="30" spans="1:28" s="35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5" customFormat="1" ht="39.75" customHeight="1">
      <c r="A31" s="129" t="s">
        <v>45</v>
      </c>
      <c r="B31" s="130"/>
      <c r="C31" s="130"/>
      <c r="D31" s="130"/>
      <c r="E31" s="130"/>
      <c r="F31" s="131"/>
      <c r="G31" s="47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8" t="s">
        <v>48</v>
      </c>
      <c r="X31" s="132" t="s">
        <v>49</v>
      </c>
      <c r="Y31" s="135"/>
      <c r="Z31" s="136"/>
    </row>
    <row r="32" spans="1:28" s="35" customFormat="1" ht="39.75" customHeight="1">
      <c r="A32" s="115"/>
      <c r="B32" s="116"/>
      <c r="C32" s="116"/>
      <c r="D32" s="116"/>
      <c r="E32" s="116"/>
      <c r="F32" s="117"/>
      <c r="G32" s="49"/>
      <c r="H32" s="118" t="s">
        <v>57</v>
      </c>
      <c r="I32" s="119"/>
      <c r="J32" s="119"/>
      <c r="K32" s="119"/>
      <c r="L32" s="119"/>
      <c r="M32" s="119"/>
      <c r="N32" s="120"/>
      <c r="O32" s="120"/>
      <c r="P32" s="120"/>
      <c r="Q32" s="120"/>
      <c r="R32" s="120"/>
      <c r="S32" s="120"/>
      <c r="T32" s="120"/>
      <c r="U32" s="120"/>
      <c r="V32" s="121"/>
      <c r="W32" s="50"/>
      <c r="X32" s="118"/>
      <c r="Y32" s="120"/>
      <c r="Z32" s="121"/>
    </row>
    <row r="33" spans="1:28" s="35" customFormat="1" ht="39.75" customHeight="1">
      <c r="A33" s="115"/>
      <c r="B33" s="116"/>
      <c r="C33" s="116"/>
      <c r="D33" s="116"/>
      <c r="E33" s="116"/>
      <c r="F33" s="117"/>
      <c r="G33" s="49"/>
      <c r="H33" s="118"/>
      <c r="I33" s="119"/>
      <c r="J33" s="119"/>
      <c r="K33" s="119"/>
      <c r="L33" s="119"/>
      <c r="M33" s="119"/>
      <c r="N33" s="120"/>
      <c r="O33" s="120"/>
      <c r="P33" s="120"/>
      <c r="Q33" s="120"/>
      <c r="R33" s="120"/>
      <c r="S33" s="120"/>
      <c r="T33" s="120"/>
      <c r="U33" s="120"/>
      <c r="V33" s="121"/>
      <c r="W33" s="50"/>
      <c r="X33" s="118"/>
      <c r="Y33" s="120"/>
      <c r="Z33" s="121"/>
    </row>
    <row r="34" spans="1:28" s="35" customFormat="1" ht="39.75" customHeight="1">
      <c r="A34" s="115"/>
      <c r="B34" s="116"/>
      <c r="C34" s="116"/>
      <c r="D34" s="116"/>
      <c r="E34" s="116"/>
      <c r="F34" s="117"/>
      <c r="G34" s="49"/>
      <c r="H34" s="118"/>
      <c r="I34" s="119"/>
      <c r="J34" s="119"/>
      <c r="K34" s="119"/>
      <c r="L34" s="119"/>
      <c r="M34" s="119"/>
      <c r="N34" s="120"/>
      <c r="O34" s="120"/>
      <c r="P34" s="120"/>
      <c r="Q34" s="120"/>
      <c r="R34" s="120"/>
      <c r="S34" s="120"/>
      <c r="T34" s="120"/>
      <c r="U34" s="120"/>
      <c r="V34" s="121"/>
      <c r="W34" s="50"/>
      <c r="X34" s="118"/>
      <c r="Y34" s="120"/>
      <c r="Z34" s="12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CB-0288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03" t="s">
        <v>54</v>
      </c>
      <c r="W36" s="104"/>
      <c r="X36" s="104"/>
      <c r="Y36" s="104"/>
      <c r="Z36" s="104"/>
      <c r="AA36" s="85"/>
      <c r="AB36" s="51"/>
    </row>
    <row r="37" spans="1:28" s="35" customFormat="1" ht="33.950000000000003" customHeight="1">
      <c r="A37" s="122"/>
      <c r="B37" s="123"/>
      <c r="C37" s="123"/>
      <c r="D37" s="123"/>
      <c r="E37" s="123"/>
      <c r="F37" s="123"/>
      <c r="G37" s="39"/>
      <c r="H37" s="122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22"/>
      <c r="B38" s="123"/>
      <c r="C38" s="123"/>
      <c r="D38" s="123"/>
      <c r="E38" s="123"/>
      <c r="F38" s="123"/>
      <c r="G38" s="39"/>
      <c r="H38" s="122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22"/>
      <c r="B40" s="123"/>
      <c r="C40" s="123"/>
      <c r="D40" s="123"/>
      <c r="E40" s="123"/>
      <c r="F40" s="123"/>
      <c r="G40" s="39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22"/>
      <c r="B41" s="123"/>
      <c r="C41" s="123"/>
      <c r="D41" s="123"/>
      <c r="E41" s="123"/>
      <c r="F41" s="123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03" t="s">
        <v>55</v>
      </c>
      <c r="W42" s="124"/>
      <c r="X42" s="124"/>
      <c r="Y42" s="124"/>
      <c r="Z42" s="124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03" t="s">
        <v>0</v>
      </c>
      <c r="W43" s="125"/>
      <c r="X43" s="125"/>
      <c r="Y43" s="125"/>
      <c r="Z43" s="12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09" t="s">
        <v>151</v>
      </c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</row>
    <row r="46" spans="1:28" s="35" customFormat="1" ht="41.25" customHeight="1">
      <c r="A46" s="107" t="s">
        <v>81</v>
      </c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07" t="s">
        <v>61</v>
      </c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</row>
    <row r="49" spans="1:28" s="35" customFormat="1" ht="41.25" customHeight="1">
      <c r="A49" s="57"/>
      <c r="B49" s="58"/>
      <c r="C49" s="61"/>
      <c r="D49" s="107" t="s">
        <v>62</v>
      </c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</row>
    <row r="50" spans="1:28" s="35" customFormat="1" ht="41.25" customHeight="1">
      <c r="A50" s="57"/>
      <c r="B50" s="58"/>
      <c r="C50" s="58" t="s">
        <v>56</v>
      </c>
      <c r="D50" s="110" t="s">
        <v>51</v>
      </c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07" t="s">
        <v>63</v>
      </c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</row>
    <row r="53" spans="1:28" s="35" customFormat="1" ht="41.25" customHeight="1">
      <c r="A53" s="57"/>
      <c r="B53" s="58"/>
      <c r="C53" s="64"/>
      <c r="D53" s="107" t="s">
        <v>62</v>
      </c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08" t="s">
        <v>64</v>
      </c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</row>
    <row r="56" spans="1:28" s="35" customFormat="1" ht="41.25" customHeight="1">
      <c r="A56" s="57"/>
      <c r="B56" s="58"/>
      <c r="C56" s="64"/>
      <c r="D56" s="107" t="s">
        <v>62</v>
      </c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12" t="s">
        <v>72</v>
      </c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</row>
    <row r="59" spans="1:28" s="35" customFormat="1" ht="41.25" customHeight="1">
      <c r="A59" s="57"/>
      <c r="B59" s="58"/>
      <c r="C59" s="64"/>
      <c r="D59" s="107" t="s">
        <v>65</v>
      </c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07" t="s">
        <v>66</v>
      </c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</row>
    <row r="62" spans="1:28" s="35" customFormat="1" ht="41.25" customHeight="1">
      <c r="A62" s="57"/>
      <c r="B62" s="58"/>
      <c r="C62" s="64"/>
      <c r="D62" s="107" t="s">
        <v>67</v>
      </c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07" t="s">
        <v>88</v>
      </c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13"/>
      <c r="V64" s="113"/>
      <c r="W64" s="113"/>
      <c r="X64" s="113"/>
      <c r="Y64" s="114"/>
      <c r="Z64" s="114"/>
      <c r="AA64" s="114"/>
      <c r="AB64" s="59"/>
    </row>
    <row r="65" spans="1:28" s="35" customFormat="1" ht="41.25" customHeight="1">
      <c r="A65" s="57"/>
      <c r="B65" s="67"/>
      <c r="C65" s="107" t="s">
        <v>69</v>
      </c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59"/>
    </row>
    <row r="66" spans="1:28" s="35" customFormat="1" ht="41.25" customHeight="1">
      <c r="A66" s="57"/>
      <c r="B66" s="68" t="s">
        <v>70</v>
      </c>
      <c r="C66" s="107" t="s">
        <v>89</v>
      </c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59"/>
    </row>
    <row r="67" spans="1:28" s="35" customFormat="1" ht="41.25" customHeight="1">
      <c r="A67" s="57"/>
      <c r="B67" s="67"/>
      <c r="C67" s="107" t="s">
        <v>73</v>
      </c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59"/>
    </row>
    <row r="68" spans="1:28" s="35" customFormat="1" ht="41.25" customHeight="1">
      <c r="A68" s="57"/>
      <c r="B68" s="68" t="s">
        <v>70</v>
      </c>
      <c r="C68" s="108" t="s">
        <v>85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59"/>
    </row>
    <row r="69" spans="1:28" s="35" customFormat="1" ht="41.25" customHeight="1">
      <c r="A69" s="57"/>
      <c r="B69" s="67"/>
      <c r="C69" s="107" t="s">
        <v>74</v>
      </c>
      <c r="D69" s="107"/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59"/>
    </row>
    <row r="70" spans="1:28" s="35" customFormat="1" ht="60.75" customHeight="1">
      <c r="A70" s="57"/>
      <c r="B70" s="67" t="s">
        <v>41</v>
      </c>
      <c r="C70" s="106" t="s">
        <v>91</v>
      </c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59"/>
    </row>
    <row r="71" spans="1:28" s="35" customFormat="1" ht="41.25" customHeight="1">
      <c r="A71" s="57"/>
      <c r="B71" s="67"/>
      <c r="C71" s="107" t="s">
        <v>71</v>
      </c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59"/>
    </row>
    <row r="72" spans="1:28" ht="33.950000000000003" customHeight="1">
      <c r="A72" s="22"/>
      <c r="B72" s="25"/>
      <c r="C72" s="105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H12" sqref="L1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2" t="s">
        <v>153</v>
      </c>
      <c r="Z4" s="163"/>
      <c r="AA4" s="163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4" t="str">
        <f>Data1!A2</f>
        <v>TPC-TC(C0)-CD-22-0548</v>
      </c>
      <c r="Z5" s="165"/>
      <c r="AA5" s="165"/>
      <c r="AB5" s="165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181"/>
      <c r="Y7" s="33"/>
      <c r="Z7" s="33"/>
      <c r="AA7" s="34"/>
      <c r="AB7" s="33"/>
    </row>
    <row r="8" spans="1:28" s="35" customFormat="1" ht="72" customHeight="1">
      <c r="A8" s="166" t="s">
        <v>75</v>
      </c>
      <c r="B8" s="167"/>
      <c r="C8" s="167"/>
      <c r="D8" s="167"/>
      <c r="E8" s="167"/>
      <c r="F8" s="168"/>
      <c r="G8" s="168"/>
      <c r="H8" s="168"/>
      <c r="I8" s="168"/>
      <c r="J8" s="168"/>
      <c r="K8" s="168"/>
      <c r="L8" s="168"/>
      <c r="M8" s="168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8"/>
      <c r="AB8" s="168"/>
    </row>
    <row r="9" spans="1:28" s="35" customFormat="1" ht="99.95" customHeight="1">
      <c r="A9" s="169" t="s">
        <v>45</v>
      </c>
      <c r="B9" s="170"/>
      <c r="C9" s="170"/>
      <c r="D9" s="170"/>
      <c r="E9" s="170"/>
      <c r="F9" s="171"/>
      <c r="G9" s="95" t="s">
        <v>46</v>
      </c>
      <c r="H9" s="172" t="s">
        <v>47</v>
      </c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4"/>
      <c r="W9" s="96" t="s">
        <v>48</v>
      </c>
      <c r="X9" s="172" t="s">
        <v>49</v>
      </c>
      <c r="Y9" s="175"/>
      <c r="Z9" s="176"/>
    </row>
    <row r="10" spans="1:28" s="35" customFormat="1" ht="120" customHeight="1">
      <c r="A10" s="155" t="s">
        <v>105</v>
      </c>
      <c r="B10" s="156"/>
      <c r="C10" s="156"/>
      <c r="D10" s="156"/>
      <c r="E10" s="156"/>
      <c r="F10" s="157"/>
      <c r="G10" s="100" t="s">
        <v>102</v>
      </c>
      <c r="H10" s="158" t="s">
        <v>101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103</v>
      </c>
      <c r="X10" s="158" t="s">
        <v>100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102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103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102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103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102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103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102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103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102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103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102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103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102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103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102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103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102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103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102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103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102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103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102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103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102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103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102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103</v>
      </c>
      <c r="X24" s="158" t="s">
        <v>147</v>
      </c>
      <c r="Y24" s="159"/>
      <c r="Z24" s="160"/>
      <c r="AA24" s="102"/>
      <c r="AB24" s="102"/>
    </row>
    <row r="25" spans="1:28" ht="120" customHeight="1">
      <c r="A25" s="177"/>
      <c r="B25" s="178"/>
      <c r="C25" s="178"/>
      <c r="D25" s="178"/>
      <c r="E25" s="178"/>
      <c r="F25" s="178"/>
      <c r="G25" s="89"/>
      <c r="H25" s="179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89"/>
      <c r="X25" s="179"/>
      <c r="Y25" s="180"/>
      <c r="Z25" s="180"/>
      <c r="AA25" s="79"/>
    </row>
    <row r="26" spans="1:28" ht="120" customHeight="1">
      <c r="A26" s="161" t="s">
        <v>92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8" ht="120" customHeight="1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8" ht="120" customHeight="1">
      <c r="A28" s="10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2022-06-23T03:20:59Z</cp:lastPrinted>
  <dcterms:created xsi:type="dcterms:W3CDTF">2008-09-29T00:47:34Z</dcterms:created>
  <dcterms:modified xsi:type="dcterms:W3CDTF">2022-06-23T03:32:05Z</dcterms:modified>
</cp:coreProperties>
</file>