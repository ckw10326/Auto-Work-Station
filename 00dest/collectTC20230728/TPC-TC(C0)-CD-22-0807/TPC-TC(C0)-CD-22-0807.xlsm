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2'!$A$1:$AB$30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<sst xmlns="http://schemas.openxmlformats.org/spreadsheetml/2006/main" count="432" uniqueCount="165">
  <si>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</si>
  <si>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</si>
  <si>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</si>
  <si>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</si>
  <si>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</si>
  <si>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</si>
  <si>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</si>
  <si>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</si>
  <si>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</si>
  <si>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</si>
  <si>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</si>
  <si>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</si>
  <si>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</si>
  <si>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</si>
  <si>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</si>
  <si>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</si>
  <si>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</si>
  <si>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</si>
  <si>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</si>
  <si>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</si>
  <si>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</si>
  <si>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</si>
  <si>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</si>
  <si>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</si>
  <si>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</si>
  <si>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</si>
  <si>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</si>
  <si>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</si>
  <si>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</si>
  <si>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</si>
  <si>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</si>
  <si>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</si>
  <si>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</si>
  <si>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</si>
  <si>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</si>
  <si>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</si>
  <si>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</si>
  <si>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</si>
  <si>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</si>
  <si>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</si>
  <si>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</si>
  <si>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</si>
  <si>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</si>
  <si>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</si>
  <si>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</si>
  <si>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</si>
  <si>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</si>
  <si>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</si>
  <si>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</si>
  <si>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</si>
  <si>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</si>
  <si>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</si>
  <si>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</si>
  <si>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</si>
  <si>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</si>
  <si>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</si>
  <si>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</si>
  <si>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</si>
  <si>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</si>
  <si>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</si>
  <si>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</si>
  <si>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</si>
  <si>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</si>
  <si>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</si>
  <si>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</si>
  <si>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</si>
  <si>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</si>
  <si>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</si>
  <si>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</si>
  <si>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</si>
  <si>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</si>
  <si>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</si>
  <si>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</si>
  <si>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</si>
  <si>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</si>
  <si>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</si>
  <si>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</si>
  <si>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</si>
  <si>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</si>
  <si>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</si>
  <si>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</si>
  <si>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</si>
  <si>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</si>
  <si>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</si>
  <si>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</si>
  <si>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</si>
  <si>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</si>
  <si>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</si>
  <si>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</si>
  <si>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</si>
  <si>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</si>
  <si>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</si>
  <si>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</si>
  <si>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</si>
  <si>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</si>
  <si>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TPC-TC(C0)-CD-22-0807</t>
  </si>
  <si>
    <t>IFC</t>
  </si>
  <si>
    <t>2022/09/08</t>
  </si>
  <si>
    <t>2022/08/09</t>
  </si>
  <si>
    <t>F0002-TSK-9023</t>
  </si>
  <si>
    <t>Piping &amp; Instrument Diagrams (P &amp; ID) 1 for DWTS</t>
  </si>
  <si>
    <t>1</t>
  </si>
  <si>
    <t>C</t>
  </si>
  <si>
    <t>Piping &amp; Instrument Diagrams (P &amp; ID) for DWTS</t>
  </si>
  <si>
    <t>TC0-1-KDM02-D0023</t>
  </si>
  <si>
    <t xml:space="preserve">蕭舜予  Ext.:22121 </t>
  </si>
  <si>
    <t>R</t>
  </si>
  <si>
    <t>VDR-F0002-TSK-0169</t>
  </si>
  <si>
    <t>F0002-TSK-9024</t>
  </si>
  <si>
    <t>Piping &amp; Instrument Diagrams (P &amp; ID) 2 for DWTS</t>
  </si>
  <si>
    <t>2</t>
  </si>
  <si>
    <t>TC0-1-KDM02-D0024</t>
  </si>
  <si>
    <t>F0002-TSK-9025</t>
  </si>
  <si>
    <t>Piping &amp; Instrument Diagrams (P &amp; ID) 3 for DWTS</t>
  </si>
  <si>
    <t>TC0-1-KDM02-D0025</t>
  </si>
  <si>
    <t>F0002-TSK-9028</t>
  </si>
  <si>
    <t>Piping &amp; Instrument Diagrams (P &amp; ID) 6 for DWTS</t>
  </si>
  <si>
    <t>TC0-1-KDM02-D0028</t>
  </si>
  <si>
    <t>F0002-TSK-9029</t>
  </si>
  <si>
    <t>Piping &amp; Instrument Diagrams (P &amp; ID) 7 for DWTS</t>
  </si>
  <si>
    <t>TC0-1-KDM02-D0029</t>
  </si>
  <si>
    <t>F0002-TSK-9030</t>
  </si>
  <si>
    <t>Piping &amp; Instrument Diagrams (P &amp; ID) 8 for DWTS</t>
  </si>
  <si>
    <t>TC0-1-KDM02-D0030</t>
  </si>
  <si>
    <t>F0002-TSK-9031</t>
  </si>
  <si>
    <t>Piping &amp; Instrument Diagrams (P &amp; ID) 9 for DWTS</t>
  </si>
  <si>
    <t>TC0-1-KDM02-D0031</t>
  </si>
  <si>
    <t>F0002-TSK-9032</t>
  </si>
  <si>
    <t>Piping &amp; Instrument Diagrams (P &amp; ID) 10 for DWTS</t>
  </si>
  <si>
    <t>TC0-1-KDM02-D0032</t>
  </si>
  <si>
    <t>F0002-TSK-9033</t>
  </si>
  <si>
    <t>Piping &amp; Instrument Diagrams (P &amp; ID) 11 for DWTS</t>
  </si>
  <si>
    <t>TC0-1-KDM02-D0033</t>
  </si>
  <si>
    <t>F0002-TSK-9034</t>
  </si>
  <si>
    <t>Piping &amp; Instrument Diagrams (P &amp; ID) 12 for DWTS</t>
  </si>
  <si>
    <t>TC0-1-KDM02-D0034</t>
  </si>
  <si>
    <t>F0002-TSK-9035</t>
  </si>
  <si>
    <t>Piping &amp; Instrument Diagrams (P &amp; ID) 13 for DWTS</t>
  </si>
  <si>
    <t>TC0-1-KDM02-D0035</t>
  </si>
  <si>
    <t>F0002-TSK-9036</t>
  </si>
  <si>
    <t>Piping &amp; Instrument Diagrams (P &amp; ID) 14 for DWTS</t>
  </si>
  <si>
    <t>TC0-1-KDM02-D0036</t>
  </si>
  <si>
    <t>F0002-TSK-9037</t>
  </si>
  <si>
    <t>Piping &amp; Instrument Diagrams (P &amp; ID) 15 for DWTS</t>
  </si>
  <si>
    <t>TC0-1-KDM02-D0037</t>
  </si>
  <si>
    <t>F0002-TSK-9038</t>
  </si>
  <si>
    <t>Piping &amp; Instrument Diagrams (P &amp; ID) 16 for DWTS</t>
  </si>
  <si>
    <t>TC0-1-KDM02-D0038</t>
  </si>
  <si>
    <t>F0002-TSK-9040</t>
  </si>
  <si>
    <t>Piping &amp; Instrument Diagrams (P &amp; ID) 18 for DWTS</t>
  </si>
  <si>
    <t>TC0-1-KDM02-D0040</t>
  </si>
  <si>
    <t>F0002-TSK-9041</t>
  </si>
  <si>
    <t>Piping &amp; Instrument Diagrams (P &amp; ID) 19 for DWTS</t>
  </si>
  <si>
    <t>TC0-1-KDM02-D0041</t>
  </si>
  <si>
    <t>F0002-TSK-9042</t>
  </si>
  <si>
    <t>Piping &amp; Instrument Diagrams (P &amp; ID) 20 for DWTS</t>
  </si>
  <si>
    <t>TC0-1-KDM02-D0042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</si>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</sst>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&amp;%20Instrument%20Diagrams%20(P%20&amp;%20ID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8"/>
  <sheetViews>
    <sheetView workbookViewId="0">
      <selection activeCell="A2" sqref="A2:Q18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89</v>
      </c>
      <c r="D1" s="26" t="s">
        <v>3</v>
      </c>
      <c r="E1" s="26" t="s">
        <v>90</v>
      </c>
      <c r="F1" s="26" t="s">
        <v>4</v>
      </c>
      <c r="G1" s="26" t="s">
        <v>5</v>
      </c>
      <c r="H1" s="26" t="s">
        <v>6</v>
      </c>
      <c r="I1" s="26" t="s">
        <v>91</v>
      </c>
      <c r="J1" s="26" t="s">
        <v>7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110</v>
      </c>
      <c r="H3" s="27" t="s">
        <v>102</v>
      </c>
      <c r="I3" s="28" t="s">
        <v>103</v>
      </c>
      <c r="J3" s="27" t="s">
        <v>111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112</v>
      </c>
      <c r="F4" s="28" t="s">
        <v>113</v>
      </c>
      <c r="G4" s="27" t="s">
        <v>110</v>
      </c>
      <c r="H4" s="27" t="s">
        <v>102</v>
      </c>
      <c r="I4" s="28" t="s">
        <v>103</v>
      </c>
      <c r="J4" s="27" t="s">
        <v>114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115</v>
      </c>
      <c r="F5" s="28" t="s">
        <v>116</v>
      </c>
      <c r="G5" s="27" t="s">
        <v>110</v>
      </c>
      <c r="H5" s="27" t="s">
        <v>102</v>
      </c>
      <c r="I5" s="28" t="s">
        <v>103</v>
      </c>
      <c r="J5" s="27" t="s">
        <v>117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118</v>
      </c>
      <c r="F6" s="28" t="s">
        <v>119</v>
      </c>
      <c r="G6" s="27" t="s">
        <v>110</v>
      </c>
      <c r="H6" s="27" t="s">
        <v>102</v>
      </c>
      <c r="I6" s="28" t="s">
        <v>103</v>
      </c>
      <c r="J6" s="27" t="s">
        <v>120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121</v>
      </c>
      <c r="F7" s="28" t="s">
        <v>122</v>
      </c>
      <c r="G7" s="27" t="s">
        <v>110</v>
      </c>
      <c r="H7" s="27" t="s">
        <v>102</v>
      </c>
      <c r="I7" s="28" t="s">
        <v>103</v>
      </c>
      <c r="J7" s="27" t="s">
        <v>123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124</v>
      </c>
      <c r="F8" s="28" t="s">
        <v>125</v>
      </c>
      <c r="G8" s="27" t="s">
        <v>110</v>
      </c>
      <c r="H8" s="27" t="s">
        <v>102</v>
      </c>
      <c r="I8" s="28" t="s">
        <v>103</v>
      </c>
      <c r="J8" s="27" t="s">
        <v>126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127</v>
      </c>
      <c r="F9" s="28" t="s">
        <v>128</v>
      </c>
      <c r="G9" s="27" t="s">
        <v>101</v>
      </c>
      <c r="H9" s="27" t="s">
        <v>102</v>
      </c>
      <c r="I9" s="28" t="s">
        <v>103</v>
      </c>
      <c r="J9" s="27" t="s">
        <v>129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130</v>
      </c>
      <c r="F10" s="76" t="s">
        <v>131</v>
      </c>
      <c r="G10" s="76" t="s">
        <v>110</v>
      </c>
      <c r="H10" s="76" t="s">
        <v>102</v>
      </c>
      <c r="I10" s="76" t="s">
        <v>103</v>
      </c>
      <c r="J10" s="76" t="s">
        <v>132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133</v>
      </c>
      <c r="F11" s="76" t="s">
        <v>134</v>
      </c>
      <c r="G11" s="76" t="s">
        <v>101</v>
      </c>
      <c r="H11" s="76" t="s">
        <v>102</v>
      </c>
      <c r="I11" s="76" t="s">
        <v>103</v>
      </c>
      <c r="J11" s="76" t="s">
        <v>135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136</v>
      </c>
      <c r="F12" s="76" t="s">
        <v>137</v>
      </c>
      <c r="G12" s="76" t="s">
        <v>101</v>
      </c>
      <c r="H12" s="76" t="s">
        <v>102</v>
      </c>
      <c r="I12" s="76" t="s">
        <v>103</v>
      </c>
      <c r="J12" s="76" t="s">
        <v>138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139</v>
      </c>
      <c r="F13" s="76" t="s">
        <v>140</v>
      </c>
      <c r="G13" s="76" t="s">
        <v>110</v>
      </c>
      <c r="H13" s="76" t="s">
        <v>102</v>
      </c>
      <c r="I13" s="76" t="s">
        <v>103</v>
      </c>
      <c r="J13" s="76" t="s">
        <v>141</v>
      </c>
      <c r="K13" s="76" t="s">
        <v>105</v>
      </c>
      <c r="L13" s="76" t="s">
        <v>106</v>
      </c>
      <c r="M13" s="76" t="s">
        <v>107</v>
      </c>
    </row>
    <row r="14" spans="1:17">
      <c r="A14" s="76" t="s">
        <v>95</v>
      </c>
      <c r="B14" s="76" t="s">
        <v>96</v>
      </c>
      <c r="C14" s="76" t="s">
        <v>97</v>
      </c>
      <c r="D14" s="76" t="s">
        <v>98</v>
      </c>
      <c r="E14" s="76" t="s">
        <v>142</v>
      </c>
      <c r="F14" s="76" t="s">
        <v>143</v>
      </c>
      <c r="G14" s="76" t="s">
        <v>110</v>
      </c>
      <c r="H14" s="76" t="s">
        <v>102</v>
      </c>
      <c r="I14" s="76" t="s">
        <v>103</v>
      </c>
      <c r="J14" s="76" t="s">
        <v>144</v>
      </c>
      <c r="K14" s="76" t="s">
        <v>105</v>
      </c>
      <c r="L14" s="76" t="s">
        <v>106</v>
      </c>
      <c r="M14" s="76" t="s">
        <v>107</v>
      </c>
    </row>
    <row r="15" spans="1:17">
      <c r="A15" s="76" t="s">
        <v>95</v>
      </c>
      <c r="B15" s="76" t="s">
        <v>96</v>
      </c>
      <c r="C15" s="76" t="s">
        <v>97</v>
      </c>
      <c r="D15" s="76" t="s">
        <v>98</v>
      </c>
      <c r="E15" s="76" t="s">
        <v>145</v>
      </c>
      <c r="F15" s="76" t="s">
        <v>146</v>
      </c>
      <c r="G15" s="76" t="s">
        <v>110</v>
      </c>
      <c r="H15" s="76" t="s">
        <v>102</v>
      </c>
      <c r="I15" s="76" t="s">
        <v>103</v>
      </c>
      <c r="J15" s="76" t="s">
        <v>147</v>
      </c>
      <c r="K15" s="76" t="s">
        <v>105</v>
      </c>
      <c r="L15" s="76" t="s">
        <v>106</v>
      </c>
      <c r="M15" s="76" t="s">
        <v>107</v>
      </c>
    </row>
    <row r="16" spans="1:17">
      <c r="A16" s="76" t="s">
        <v>95</v>
      </c>
      <c r="B16" s="76" t="s">
        <v>96</v>
      </c>
      <c r="C16" s="76" t="s">
        <v>97</v>
      </c>
      <c r="D16" s="76" t="s">
        <v>98</v>
      </c>
      <c r="E16" s="76" t="s">
        <v>148</v>
      </c>
      <c r="F16" s="76" t="s">
        <v>149</v>
      </c>
      <c r="G16" s="76" t="s">
        <v>110</v>
      </c>
      <c r="H16" s="76" t="s">
        <v>102</v>
      </c>
      <c r="I16" s="76" t="s">
        <v>103</v>
      </c>
      <c r="J16" s="76" t="s">
        <v>150</v>
      </c>
      <c r="K16" s="76" t="s">
        <v>105</v>
      </c>
      <c r="L16" s="76" t="s">
        <v>106</v>
      </c>
      <c r="M16" s="76" t="s">
        <v>107</v>
      </c>
    </row>
    <row r="17" spans="1:13">
      <c r="A17" s="76" t="s">
        <v>95</v>
      </c>
      <c r="B17" s="76" t="s">
        <v>96</v>
      </c>
      <c r="C17" s="76" t="s">
        <v>97</v>
      </c>
      <c r="D17" s="76" t="s">
        <v>98</v>
      </c>
      <c r="E17" s="76" t="s">
        <v>151</v>
      </c>
      <c r="F17" s="76" t="s">
        <v>152</v>
      </c>
      <c r="G17" s="76" t="s">
        <v>101</v>
      </c>
      <c r="H17" s="76" t="s">
        <v>102</v>
      </c>
      <c r="I17" s="76" t="s">
        <v>103</v>
      </c>
      <c r="J17" s="76" t="s">
        <v>153</v>
      </c>
      <c r="K17" s="76" t="s">
        <v>105</v>
      </c>
      <c r="L17" s="76" t="s">
        <v>106</v>
      </c>
      <c r="M17" s="76" t="s">
        <v>107</v>
      </c>
    </row>
    <row r="18" spans="1:13">
      <c r="A18" s="76" t="s">
        <v>95</v>
      </c>
      <c r="B18" s="76" t="s">
        <v>96</v>
      </c>
      <c r="C18" s="76" t="s">
        <v>97</v>
      </c>
      <c r="D18" s="76" t="s">
        <v>98</v>
      </c>
      <c r="E18" s="76" t="s">
        <v>154</v>
      </c>
      <c r="F18" s="76" t="s">
        <v>155</v>
      </c>
      <c r="G18" s="76" t="s">
        <v>101</v>
      </c>
      <c r="H18" s="76" t="s">
        <v>102</v>
      </c>
      <c r="I18" s="76" t="s">
        <v>103</v>
      </c>
      <c r="J18" s="76" t="s">
        <v>156</v>
      </c>
      <c r="K18" s="76" t="s">
        <v>105</v>
      </c>
      <c r="L18" s="76" t="s">
        <v>106</v>
      </c>
      <c r="M18" s="76" t="s">
        <v>107</v>
      </c>
    </row>
  </sheetData>
  <sortState ref="A2:Q18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28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29</v>
      </c>
      <c r="W7" s="90"/>
      <c r="X7" s="121" t="str">
        <f>Data1!D2</f>
        <v>2022/08/09</v>
      </c>
      <c r="Y7" s="122"/>
      <c r="Z7" s="122"/>
      <c r="AA7" s="93"/>
      <c r="AB7" s="87"/>
    </row>
    <row r="8" spans="1:28" s="35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30</v>
      </c>
      <c r="W8" s="91"/>
      <c r="X8" s="123" t="str">
        <f>Data1!A2</f>
        <v>TPC-TC(C0)-CD-22-0807</v>
      </c>
      <c r="Y8" s="115"/>
      <c r="Z8" s="115"/>
      <c r="AA8" s="94"/>
      <c r="AB8" s="94"/>
    </row>
    <row r="9" spans="1:28" s="35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34</v>
      </c>
      <c r="B10" s="31"/>
      <c r="C10" s="36" t="s">
        <v>35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78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36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37</v>
      </c>
      <c r="B18" s="116" t="str">
        <f>Data1!I2</f>
        <v>Piping &amp; Instrument Diagrams (P &amp; ID) for DWTS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38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39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164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56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162</v>
      </c>
      <c r="C24" s="113" t="s">
        <v>57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40</v>
      </c>
      <c r="C25" s="105" t="s">
        <v>41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157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158</v>
      </c>
      <c r="C27" s="103" t="s">
        <v>42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40</v>
      </c>
      <c r="C28" s="41" t="s">
        <v>43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72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44</v>
      </c>
      <c r="B31" s="128"/>
      <c r="C31" s="128"/>
      <c r="D31" s="128"/>
      <c r="E31" s="128"/>
      <c r="F31" s="129"/>
      <c r="G31" s="47" t="s">
        <v>45</v>
      </c>
      <c r="H31" s="130" t="s">
        <v>46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47</v>
      </c>
      <c r="X31" s="130" t="s">
        <v>48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55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79</v>
      </c>
      <c r="B36" s="52"/>
      <c r="C36" s="52"/>
      <c r="D36" s="97" t="str">
        <f>Data1!K2</f>
        <v xml:space="preserve">蕭舜予  Ext.:22121 </v>
      </c>
      <c r="E36" s="52"/>
      <c r="F36" s="52"/>
      <c r="G36" s="52"/>
      <c r="H36" s="99" t="str">
        <f>Data1!M2</f>
        <v>VDR-F0002-TSK-0169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52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53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49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163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159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77</v>
      </c>
      <c r="C47" s="57" t="s">
        <v>82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77</v>
      </c>
      <c r="D48" s="149" t="s">
        <v>58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59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54</v>
      </c>
      <c r="D50" s="150" t="s">
        <v>50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77</v>
      </c>
      <c r="C51" s="54" t="s">
        <v>83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77</v>
      </c>
      <c r="D52" s="149" t="s">
        <v>60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59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77</v>
      </c>
      <c r="C54" s="57" t="s">
        <v>80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162</v>
      </c>
      <c r="D55" s="146" t="s">
        <v>61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59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161</v>
      </c>
      <c r="D57" s="57" t="s">
        <v>51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160</v>
      </c>
      <c r="D58" s="148" t="s">
        <v>69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62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54</v>
      </c>
      <c r="C60" s="98" t="s">
        <v>86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54</v>
      </c>
      <c r="D61" s="149" t="s">
        <v>63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64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65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54</v>
      </c>
      <c r="C64" s="149" t="s">
        <v>84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66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67</v>
      </c>
      <c r="C66" s="149" t="s">
        <v>85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70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67</v>
      </c>
      <c r="C68" s="146" t="s">
        <v>81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71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40</v>
      </c>
      <c r="C70" s="154" t="s">
        <v>87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68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73</v>
      </c>
      <c r="B1" s="76" t="s">
        <v>74</v>
      </c>
    </row>
    <row r="2" spans="1:2">
      <c r="A2" s="76" t="s">
        <v>75</v>
      </c>
      <c r="B2" s="76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7"/>
  <sheetViews>
    <sheetView tabSelected="1" zoomScale="40" zoomScaleNormal="40" zoomScaleSheetLayoutView="40" zoomScalePageLayoutView="40" workbookViewId="0">
      <selection activeCell="B18" sqref="B18:Z1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29</v>
      </c>
      <c r="X4" s="90"/>
      <c r="Y4" s="165" t="str">
        <f>Data1!D2</f>
        <v>2022/08/09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30</v>
      </c>
      <c r="X5" s="92"/>
      <c r="Y5" s="167" t="str">
        <f>Data1!A2</f>
        <v>TPC-TC(C0)-CD-22-0807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72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44</v>
      </c>
      <c r="B9" s="173"/>
      <c r="C9" s="173"/>
      <c r="D9" s="173"/>
      <c r="E9" s="173"/>
      <c r="F9" s="174"/>
      <c r="G9" s="95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47</v>
      </c>
      <c r="X9" s="175" t="s">
        <v>48</v>
      </c>
      <c r="Y9" s="178"/>
      <c r="Z9" s="179"/>
    </row>
    <row r="10" spans="1:28" s="35" customFormat="1" ht="120" customHeight="1">
      <c r="A10" s="155" t="s">
        <v>104</v>
      </c>
      <c r="B10" s="156"/>
      <c r="C10" s="156"/>
      <c r="D10" s="156"/>
      <c r="E10" s="156"/>
      <c r="F10" s="157"/>
      <c r="G10" s="100" t="s">
        <v>101</v>
      </c>
      <c r="H10" s="158" t="s">
        <v>100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102</v>
      </c>
      <c r="X10" s="158" t="s">
        <v>99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110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102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110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102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110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102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110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102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110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102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110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102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101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102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110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102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101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102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101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102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110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102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110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102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110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102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110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102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101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102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101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102</v>
      </c>
      <c r="X26" s="158" t="s">
        <v>154</v>
      </c>
      <c r="Y26" s="159"/>
      <c r="Z26" s="160"/>
      <c r="AA26" s="102"/>
      <c r="AB26" s="102"/>
    </row>
    <row r="27" spans="1:28" ht="120" customHeight="1">
      <c r="A27" s="161"/>
      <c r="B27" s="162"/>
      <c r="C27" s="162"/>
      <c r="D27" s="162"/>
      <c r="E27" s="162"/>
      <c r="F27" s="162"/>
      <c r="G27" s="89"/>
      <c r="H27" s="163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89"/>
      <c r="X27" s="163"/>
      <c r="Y27" s="164"/>
      <c r="Z27" s="164"/>
      <c r="AA27" s="79"/>
    </row>
    <row r="28" spans="1:28" ht="120" customHeight="1">
      <c r="A28" s="180" t="s">
        <v>88</v>
      </c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</row>
    <row r="29" spans="1:28" ht="120" customHeight="1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</row>
    <row r="30" spans="1:28" ht="120" customHeight="1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</row>
    <row r="31" spans="1:28" ht="120" customHeight="1"/>
    <row r="32" spans="1:28" ht="120" customHeight="1"/>
    <row r="33" ht="120" customHeight="1"/>
    <row r="34" ht="120" customHeight="1"/>
    <row r="35" ht="120" customHeight="1"/>
    <row r="36" ht="120" customHeight="1"/>
    <row r="37" ht="120" customHeight="1"/>
  </sheetData>
  <mergeCells count="61">
    <mergeCell ref="A23:F23"/>
    <mergeCell ref="H23:V23"/>
    <mergeCell ref="X23:Z23"/>
    <mergeCell ref="A20:F20"/>
    <mergeCell ref="X21:Z21"/>
    <mergeCell ref="A28:AA30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7:F27"/>
    <mergeCell ref="H27:V27"/>
    <mergeCell ref="X27:Z27"/>
    <mergeCell ref="A19:F19"/>
    <mergeCell ref="H19:V19"/>
    <mergeCell ref="X19:Z19"/>
    <mergeCell ref="H20:V20"/>
    <mergeCell ref="X20:Z20"/>
    <mergeCell ref="A21:F21"/>
    <mergeCell ref="H21:V21"/>
    <mergeCell ref="A26:F26"/>
    <mergeCell ref="H26:V26"/>
    <mergeCell ref="X26:Z26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7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2022-08-09T02:39:36Z</cp:lastPrinted>
  <dcterms:created xsi:type="dcterms:W3CDTF">2008-09-29T00:47:34Z</dcterms:created>
  <dcterms:modified xsi:type="dcterms:W3CDTF">2022-08-09T02:39:57Z</dcterms:modified>
</cp:coreProperties>
</file>