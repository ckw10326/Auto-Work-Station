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240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<sst xmlns="http://schemas.openxmlformats.org/spreadsheetml/2006/main" count="133" uniqueCount="109">
  <si>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</si>
  <si>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</si>
  <si>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</si>
  <si>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</si>
  <si>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</si>
  <si>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</si>
  <si>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</si>
  <si>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</si>
  <si>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</si>
  <si>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</si>
  <si>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</si>
  <si>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</si>
  <si>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</si>
  <si>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</si>
  <si>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</si>
  <si>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</si>
  <si>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</si>
  <si>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</si>
  <si>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</si>
  <si>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</si>
  <si>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</si>
  <si>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</si>
  <si>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</si>
  <si>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</si>
  <si>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</si>
  <si>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</si>
  <si>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</si>
  <si>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</si>
  <si>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</si>
  <si>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</si>
  <si>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</si>
  <si>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</si>
  <si>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</si>
  <si>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</si>
  <si>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</si>
  <si>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</si>
  <si>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</si>
  <si>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</si>
  <si>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</si>
  <si>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</si>
  <si>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</si>
  <si>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</si>
  <si>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</si>
  <si>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</si>
  <si>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</si>
  <si>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</si>
  <si>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</si>
  <si>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</si>
  <si>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</si>
  <si>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</si>
  <si>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</si>
  <si>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</si>
  <si>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</si>
  <si>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</si>
  <si>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</si>
  <si>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</si>
  <si>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</si>
  <si>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</si>
  <si>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</si>
  <si>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</si>
  <si>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</si>
  <si>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</si>
  <si>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</si>
  <si>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</si>
  <si>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</si>
  <si>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</si>
  <si>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</si>
  <si>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</si>
  <si>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</si>
  <si>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</si>
  <si>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</si>
  <si>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</si>
  <si>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</si>
  <si>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</si>
  <si>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</si>
  <si>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</si>
  <si>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</si>
  <si>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</si>
  <si>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</si>
  <si>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</si>
  <si>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</si>
  <si>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</si>
  <si>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</si>
  <si>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</si>
  <si>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</si>
  <si>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</si>
  <si>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</si>
  <si>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</si>
  <si>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</si>
  <si>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</si>
  <si>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</si>
  <si>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</si>
  <si>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</si>
  <si>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</si>
  <si>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REVIEW</t>
  </si>
  <si>
    <t>TPC-TC(C0)-CD-22-1240</t>
  </si>
  <si>
    <t>IFA</t>
  </si>
  <si>
    <t>2022/11/02</t>
  </si>
  <si>
    <t>2022/10/03</t>
  </si>
  <si>
    <t>F0001-9027</t>
  </si>
  <si>
    <t>Data Sheet of NaOH Storage Tank for Seawater Electrolysis System</t>
  </si>
  <si>
    <t>B</t>
  </si>
  <si>
    <t>A</t>
  </si>
  <si>
    <t>TC0-1-KEM02-S9027</t>
  </si>
  <si>
    <t>張銘洋  Ext.:24270</t>
  </si>
  <si>
    <t>R</t>
  </si>
  <si>
    <t>VDR-F0001-KAL-0105</t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</si>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</sst>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1240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Data%20Sheet%20of%20NaOH%20Storage%20Tank%20for%20Seawater%20Electrolysis%20System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89</v>
      </c>
      <c r="D1" s="25" t="s">
        <v>3</v>
      </c>
      <c r="E1" s="25" t="s">
        <v>90</v>
      </c>
      <c r="F1" s="25" t="s">
        <v>4</v>
      </c>
      <c r="G1" s="25" t="s">
        <v>5</v>
      </c>
      <c r="H1" s="25" t="s">
        <v>6</v>
      </c>
      <c r="I1" s="25" t="s">
        <v>91</v>
      </c>
      <c r="J1" s="25" t="s">
        <v>7</v>
      </c>
      <c r="K1" s="25" t="s">
        <v>92</v>
      </c>
      <c r="L1" s="25" t="s">
        <v>93</v>
      </c>
      <c r="M1" s="25" t="s">
        <v>94</v>
      </c>
      <c r="N1" s="25"/>
      <c r="O1" s="25"/>
      <c r="P1" s="25"/>
      <c r="Q1" s="25"/>
    </row>
    <row r="2" spans="1:17" s="13" customFormat="1">
      <c r="A2" s="26" t="s">
        <v>95</v>
      </c>
      <c r="B2" s="26" t="s">
        <v>96</v>
      </c>
      <c r="C2" s="26" t="s">
        <v>97</v>
      </c>
      <c r="D2" s="26" t="s">
        <v>98</v>
      </c>
      <c r="E2" s="26" t="s">
        <v>99</v>
      </c>
      <c r="F2" s="27" t="s">
        <v>100</v>
      </c>
      <c r="G2" s="26" t="s">
        <v>101</v>
      </c>
      <c r="H2" s="26" t="s">
        <v>102</v>
      </c>
      <c r="I2" s="27" t="s">
        <v>100</v>
      </c>
      <c r="J2" s="26" t="s">
        <v>103</v>
      </c>
      <c r="K2" s="26" t="s">
        <v>104</v>
      </c>
      <c r="L2" s="26" t="s">
        <v>105</v>
      </c>
      <c r="M2" s="27" t="s">
        <v>106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H42" sqref="H4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28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12" t="str">
        <f>Data1!D2</f>
        <v>2022/10/03</v>
      </c>
      <c r="Y7" s="113"/>
      <c r="Z7" s="113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14" t="str">
        <f>Data1!A2</f>
        <v>TPC-TC(C0)-CD-22-1240</v>
      </c>
      <c r="Y8" s="106"/>
      <c r="Z8" s="106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79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36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37</v>
      </c>
      <c r="B18" s="107" t="str">
        <f>Data1!I2</f>
        <v>Data Sheet of NaOH Storage Tank for Seawater Electrolysis System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108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55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77</v>
      </c>
      <c r="C24" s="104" t="s">
        <v>56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40</v>
      </c>
      <c r="C25" s="96" t="s">
        <v>41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94" t="s">
        <v>42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72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44</v>
      </c>
      <c r="B31" s="119"/>
      <c r="C31" s="119"/>
      <c r="D31" s="119"/>
      <c r="E31" s="119"/>
      <c r="F31" s="120"/>
      <c r="G31" s="46" t="s">
        <v>45</v>
      </c>
      <c r="H31" s="121" t="s">
        <v>46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47</v>
      </c>
      <c r="X31" s="121" t="s">
        <v>48</v>
      </c>
      <c r="Y31" s="124"/>
      <c r="Z31" s="125"/>
    </row>
    <row r="32" spans="1:28" s="34" customFormat="1" ht="39.75" customHeight="1">
      <c r="A32" s="126" t="s">
        <v>103</v>
      </c>
      <c r="B32" s="127"/>
      <c r="C32" s="127"/>
      <c r="D32" s="127"/>
      <c r="E32" s="127"/>
      <c r="F32" s="128"/>
      <c r="G32" s="48" t="s">
        <v>101</v>
      </c>
      <c r="H32" s="129" t="s">
        <v>100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102</v>
      </c>
      <c r="X32" s="129" t="s">
        <v>99</v>
      </c>
      <c r="Y32" s="130"/>
      <c r="Z32" s="146"/>
    </row>
    <row r="33" spans="1:28" s="34" customFormat="1" ht="39.75" customHeight="1">
      <c r="A33" s="126"/>
      <c r="B33" s="127"/>
      <c r="C33" s="127"/>
      <c r="D33" s="127"/>
      <c r="E33" s="127"/>
      <c r="F33" s="128"/>
      <c r="G33" s="48"/>
      <c r="H33" s="129"/>
      <c r="I33" s="130"/>
      <c r="J33" s="130"/>
      <c r="K33" s="130"/>
      <c r="L33" s="130"/>
      <c r="M33" s="130"/>
      <c r="N33" s="131"/>
      <c r="O33" s="131"/>
      <c r="P33" s="131"/>
      <c r="Q33" s="131"/>
      <c r="R33" s="131"/>
      <c r="S33" s="131"/>
      <c r="T33" s="131"/>
      <c r="U33" s="131"/>
      <c r="V33" s="132"/>
      <c r="W33" s="49"/>
      <c r="X33" s="129"/>
      <c r="Y33" s="131"/>
      <c r="Z33" s="132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80</v>
      </c>
      <c r="B36" s="51"/>
      <c r="C36" s="51"/>
      <c r="D36" s="91" t="str">
        <f>Data1!K2</f>
        <v>張銘洋  Ext.:24270</v>
      </c>
      <c r="E36" s="51"/>
      <c r="F36" s="51"/>
      <c r="G36" s="51"/>
      <c r="H36" s="93" t="str">
        <f>Data1!M2</f>
        <v>VDR-F0001-KAL-0105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52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53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107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78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77</v>
      </c>
      <c r="C47" s="56" t="s">
        <v>83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40" t="s">
        <v>58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59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54</v>
      </c>
      <c r="D50" s="141" t="s">
        <v>50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77</v>
      </c>
      <c r="C51" s="53" t="s">
        <v>84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40" t="s">
        <v>60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59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77</v>
      </c>
      <c r="C54" s="56" t="s">
        <v>81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137" t="s">
        <v>61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59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39" t="s">
        <v>69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62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54</v>
      </c>
      <c r="C60" s="92" t="s">
        <v>87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40" t="s">
        <v>63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64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40" t="s">
        <v>85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66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67</v>
      </c>
      <c r="C66" s="140" t="s">
        <v>86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70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67</v>
      </c>
      <c r="C68" s="137" t="s">
        <v>82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71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40</v>
      </c>
      <c r="C70" s="145" t="s">
        <v>88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68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2022-10-03T05:30:06Z</cp:lastPrinted>
  <dcterms:created xsi:type="dcterms:W3CDTF">2008-09-29T00:47:34Z</dcterms:created>
  <dcterms:modified xsi:type="dcterms:W3CDTF">2022-10-03T05:30:21Z</dcterms:modified>
</cp:coreProperties>
</file>