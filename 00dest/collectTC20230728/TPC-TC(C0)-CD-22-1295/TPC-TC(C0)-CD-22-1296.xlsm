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29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<sst xmlns="http://schemas.openxmlformats.org/spreadsheetml/2006/main" count="198" uniqueCount="120">
  <si>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</si>
  <si>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</si>
  <si>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</si>
  <si>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</si>
  <si>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</si>
  <si>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</si>
  <si>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</si>
  <si>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</si>
  <si>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</si>
  <si>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</si>
  <si>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</si>
  <si>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</si>
  <si>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</si>
  <si>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</si>
  <si>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</si>
  <si>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</si>
  <si>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</si>
  <si>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</si>
  <si>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</si>
  <si>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</si>
  <si>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</si>
  <si>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</si>
  <si>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</si>
  <si>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</si>
  <si>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</si>
  <si>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</si>
  <si>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</si>
  <si>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</si>
  <si>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</si>
  <si>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</si>
  <si>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</si>
  <si>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</si>
  <si>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</si>
  <si>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</si>
  <si>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</si>
  <si>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</si>
  <si>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</si>
  <si>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</si>
  <si>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</si>
  <si>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</si>
  <si>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</si>
  <si>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</si>
  <si>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</si>
  <si>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</si>
  <si>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</si>
  <si>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</si>
  <si>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</si>
  <si>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</si>
  <si>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</si>
  <si>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</si>
  <si>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</si>
  <si>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</si>
  <si>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</si>
  <si>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</si>
  <si>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</si>
  <si>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</si>
  <si>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</si>
  <si>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</si>
  <si>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</si>
  <si>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</si>
  <si>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</si>
  <si>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</si>
  <si>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</si>
  <si>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</si>
  <si>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</si>
  <si>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</si>
  <si>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</si>
  <si>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</si>
  <si>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</si>
  <si>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</si>
  <si>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</si>
  <si>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</si>
  <si>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</si>
  <si>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</si>
  <si>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</si>
  <si>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</si>
  <si>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</si>
  <si>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</si>
  <si>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</si>
  <si>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</si>
  <si>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</si>
  <si>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</si>
  <si>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</si>
  <si>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</si>
  <si>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</si>
  <si>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</si>
  <si>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</si>
  <si>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</si>
  <si>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</si>
  <si>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</si>
  <si>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</si>
  <si>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</si>
  <si>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</si>
  <si>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</si>
  <si>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</si>
  <si>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</si>
  <si>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TPC-TC(C0)-CD-22-1296</t>
  </si>
  <si>
    <t>IFA</t>
  </si>
  <si>
    <t>2022/11/06</t>
  </si>
  <si>
    <t>2022/10/07</t>
  </si>
  <si>
    <t>XF71C-3100-101</t>
  </si>
  <si>
    <t>HEAVY PARTS WAREHOUSE (BLD-3101) HVAC EQUIPMENT SCHEDULE AND AIR FLOW DIAGRAM</t>
  </si>
  <si>
    <t>B</t>
  </si>
  <si>
    <t>A</t>
  </si>
  <si>
    <t>Heavy Parts Warehouse (BLD-3101) - HVAC System - 機械_RB</t>
  </si>
  <si>
    <t>TC0-1-UZC02-D6901</t>
  </si>
  <si>
    <t>陳博仁  Ext.:23341</t>
  </si>
  <si>
    <t>CB-0427</t>
  </si>
  <si>
    <t>XF71C-3100-121</t>
  </si>
  <si>
    <t>HEAVY PARTS WAREHOUSE (BLD-3101) HVAC EQUIPMENT, DUCT AND PIPING LAYOUT-1</t>
  </si>
  <si>
    <t>TC0-1-UZC02-D6921</t>
  </si>
  <si>
    <t>XF71C-3100-122</t>
  </si>
  <si>
    <t>HEAVY PARTS WAREHOUSE (BLD-3101) HVAC EQUIPMENT, DUCT AND PIPING LAYOUT-2</t>
  </si>
  <si>
    <t>TC0-1-UZC02-D6922</t>
  </si>
  <si>
    <t>XF72-3100-101C</t>
  </si>
  <si>
    <t>HEAVY PARTS WAREHOUSE (BLD-3101) HVAC SYSTEM CALCULATION SHEET</t>
  </si>
  <si>
    <t>TC0-1-UZC02-C6901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</si>
  <si>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</si>
  <si>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</si>
  <si>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rPr>
        <sz val="24"/>
        <rFont val="細明體"/>
        <family val="3"/>
        <charset val="136"/>
      </rPr>
      <t>詳下頁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</si>
</sst>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296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Heavy%20Parts%20Warehouse%20(BLD-3101)%20-%20HVAC%20System%20-%20&#27231;&#26800;_R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92</v>
      </c>
      <c r="J1" s="26" t="s">
        <v>8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104</v>
      </c>
      <c r="J2" s="27" t="s">
        <v>105</v>
      </c>
      <c r="K2" s="27" t="s">
        <v>106</v>
      </c>
      <c r="L2" s="27" t="s">
        <v>107</v>
      </c>
      <c r="M2" s="28" t="s">
        <v>103</v>
      </c>
      <c r="N2" s="29"/>
      <c r="O2" s="31"/>
      <c r="P2" s="29"/>
      <c r="Q2" s="29"/>
    </row>
    <row r="3" spans="1:17" s="13" customFormat="1">
      <c r="A3" s="27" t="s">
        <v>96</v>
      </c>
      <c r="B3" s="27" t="s">
        <v>97</v>
      </c>
      <c r="C3" s="27" t="s">
        <v>98</v>
      </c>
      <c r="D3" s="27" t="s">
        <v>99</v>
      </c>
      <c r="E3" s="27" t="s">
        <v>108</v>
      </c>
      <c r="F3" s="28" t="s">
        <v>109</v>
      </c>
      <c r="G3" s="27" t="s">
        <v>102</v>
      </c>
      <c r="H3" s="27" t="s">
        <v>103</v>
      </c>
      <c r="I3" s="28" t="s">
        <v>104</v>
      </c>
      <c r="J3" s="27" t="s">
        <v>110</v>
      </c>
      <c r="K3" s="27" t="s">
        <v>106</v>
      </c>
      <c r="L3" s="27" t="s">
        <v>107</v>
      </c>
      <c r="M3" s="28" t="s">
        <v>103</v>
      </c>
      <c r="N3" s="29"/>
      <c r="O3" s="31"/>
      <c r="P3" s="29"/>
      <c r="Q3" s="29"/>
    </row>
    <row r="4" spans="1:17" s="13" customFormat="1">
      <c r="A4" s="27" t="s">
        <v>96</v>
      </c>
      <c r="B4" s="27" t="s">
        <v>97</v>
      </c>
      <c r="C4" s="27" t="s">
        <v>98</v>
      </c>
      <c r="D4" s="27" t="s">
        <v>99</v>
      </c>
      <c r="E4" s="27" t="s">
        <v>111</v>
      </c>
      <c r="F4" s="28" t="s">
        <v>112</v>
      </c>
      <c r="G4" s="27" t="s">
        <v>102</v>
      </c>
      <c r="H4" s="27" t="s">
        <v>103</v>
      </c>
      <c r="I4" s="28" t="s">
        <v>104</v>
      </c>
      <c r="J4" s="27" t="s">
        <v>113</v>
      </c>
      <c r="K4" s="27" t="s">
        <v>106</v>
      </c>
      <c r="L4" s="27" t="s">
        <v>107</v>
      </c>
      <c r="M4" s="28" t="s">
        <v>103</v>
      </c>
      <c r="N4" s="29"/>
      <c r="O4" s="31"/>
      <c r="P4" s="29"/>
      <c r="Q4" s="29"/>
    </row>
    <row r="5" spans="1:17" s="13" customFormat="1">
      <c r="A5" s="27" t="s">
        <v>96</v>
      </c>
      <c r="B5" s="27" t="s">
        <v>97</v>
      </c>
      <c r="C5" s="27" t="s">
        <v>98</v>
      </c>
      <c r="D5" s="27" t="s">
        <v>99</v>
      </c>
      <c r="E5" s="27" t="s">
        <v>114</v>
      </c>
      <c r="F5" s="28" t="s">
        <v>115</v>
      </c>
      <c r="G5" s="27" t="s">
        <v>102</v>
      </c>
      <c r="H5" s="27" t="s">
        <v>103</v>
      </c>
      <c r="I5" s="28" t="s">
        <v>104</v>
      </c>
      <c r="J5" s="27" t="s">
        <v>116</v>
      </c>
      <c r="K5" s="27" t="s">
        <v>106</v>
      </c>
      <c r="L5" s="27" t="s">
        <v>107</v>
      </c>
      <c r="M5" s="28" t="s">
        <v>103</v>
      </c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6" zoomScale="40" zoomScaleNormal="70" zoomScaleSheetLayoutView="40" zoomScalePageLayoutView="40" workbookViewId="0">
      <selection activeCell="H32" sqref="H32:V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29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32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30</v>
      </c>
      <c r="W7" s="92"/>
      <c r="X7" s="123" t="str">
        <f>Data1!D2</f>
        <v>2022/10/07</v>
      </c>
      <c r="Y7" s="124"/>
      <c r="Z7" s="124"/>
      <c r="AA7" s="95"/>
      <c r="AB7" s="89"/>
    </row>
    <row r="8" spans="1:28" s="36" customFormat="1" ht="36.75" customHeight="1">
      <c r="A8" s="32" t="s">
        <v>33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31</v>
      </c>
      <c r="W8" s="93"/>
      <c r="X8" s="125" t="str">
        <f>Data1!A2</f>
        <v>TPC-TC(C0)-CD-22-1296</v>
      </c>
      <c r="Y8" s="117"/>
      <c r="Z8" s="117"/>
      <c r="AA8" s="96"/>
      <c r="AB8" s="96"/>
    </row>
    <row r="9" spans="1:28" s="36" customFormat="1" ht="36.75" customHeight="1">
      <c r="A9" s="32" t="s">
        <v>34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35</v>
      </c>
      <c r="B10" s="32"/>
      <c r="C10" s="37" t="s">
        <v>36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81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37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38</v>
      </c>
      <c r="B18" s="118" t="str">
        <f>Data1!I2</f>
        <v>Heavy Parts Warehouse (BLD-3101) - HVAC System - 機械_RB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39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40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118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57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79</v>
      </c>
      <c r="C24" s="115" t="s">
        <v>58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41</v>
      </c>
      <c r="C25" s="107" t="s">
        <v>42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59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41</v>
      </c>
      <c r="C27" s="105" t="s">
        <v>43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41</v>
      </c>
      <c r="C28" s="42" t="s">
        <v>44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74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45</v>
      </c>
      <c r="B31" s="130"/>
      <c r="C31" s="130"/>
      <c r="D31" s="130"/>
      <c r="E31" s="130"/>
      <c r="F31" s="131"/>
      <c r="G31" s="48" t="s">
        <v>46</v>
      </c>
      <c r="H31" s="132" t="s">
        <v>47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48</v>
      </c>
      <c r="X31" s="132" t="s">
        <v>49</v>
      </c>
      <c r="Y31" s="135"/>
      <c r="Z31" s="136"/>
    </row>
    <row r="32" spans="1:28" s="36" customFormat="1" ht="39.75" customHeight="1">
      <c r="A32" s="137"/>
      <c r="B32" s="138"/>
      <c r="C32" s="138"/>
      <c r="D32" s="138"/>
      <c r="E32" s="138"/>
      <c r="F32" s="139"/>
      <c r="G32" s="50"/>
      <c r="H32" s="140" t="s">
        <v>119</v>
      </c>
      <c r="I32" s="141"/>
      <c r="J32" s="141"/>
      <c r="K32" s="141"/>
      <c r="L32" s="141"/>
      <c r="M32" s="141"/>
      <c r="N32" s="142"/>
      <c r="O32" s="142"/>
      <c r="P32" s="142"/>
      <c r="Q32" s="142"/>
      <c r="R32" s="142"/>
      <c r="S32" s="142"/>
      <c r="T32" s="142"/>
      <c r="U32" s="142"/>
      <c r="V32" s="143"/>
      <c r="W32" s="51"/>
      <c r="X32" s="140"/>
      <c r="Y32" s="142"/>
      <c r="Z32" s="14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82</v>
      </c>
      <c r="B36" s="53"/>
      <c r="C36" s="53"/>
      <c r="D36" s="99" t="str">
        <f>Data1!K2</f>
        <v>陳博仁  Ext.:23341</v>
      </c>
      <c r="E36" s="53"/>
      <c r="F36" s="53"/>
      <c r="G36" s="53"/>
      <c r="H36" s="101" t="str">
        <f>Data1!L2</f>
        <v>CB-0427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54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55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50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117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80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79</v>
      </c>
      <c r="C47" s="58" t="s">
        <v>85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79</v>
      </c>
      <c r="D48" s="151" t="s">
        <v>60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61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56</v>
      </c>
      <c r="D50" s="152" t="s">
        <v>51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79</v>
      </c>
      <c r="C51" s="55" t="s">
        <v>86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79</v>
      </c>
      <c r="D52" s="151" t="s">
        <v>62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61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79</v>
      </c>
      <c r="C54" s="58" t="s">
        <v>83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79</v>
      </c>
      <c r="D55" s="148" t="s">
        <v>63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61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56</v>
      </c>
      <c r="D57" s="58" t="s">
        <v>52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41</v>
      </c>
      <c r="D58" s="150" t="s">
        <v>71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64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56</v>
      </c>
      <c r="C60" s="100" t="s">
        <v>89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56</v>
      </c>
      <c r="D61" s="151" t="s">
        <v>65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66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67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56</v>
      </c>
      <c r="C64" s="151" t="s">
        <v>87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68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69</v>
      </c>
      <c r="C66" s="151" t="s">
        <v>88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72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69</v>
      </c>
      <c r="C68" s="148" t="s">
        <v>84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73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41</v>
      </c>
      <c r="C70" s="156" t="s">
        <v>90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70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75</v>
      </c>
      <c r="B1" s="77" t="s">
        <v>76</v>
      </c>
    </row>
    <row r="2" spans="1:2">
      <c r="A2" s="77" t="s">
        <v>77</v>
      </c>
      <c r="B2" s="77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zoomScale="40" zoomScaleNormal="40" zoomScaleSheetLayoutView="40" zoomScalePageLayoutView="40" workbookViewId="0">
      <selection activeCell="H32" sqref="H32:V32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30</v>
      </c>
      <c r="X4" s="92"/>
      <c r="Y4" s="168" t="str">
        <f>Data1!D2</f>
        <v>2022/10/07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31</v>
      </c>
      <c r="X5" s="94"/>
      <c r="Y5" s="170" t="str">
        <f>Data1!A2</f>
        <v>TPC-TC(C0)-CD-22-1296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74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45</v>
      </c>
      <c r="B9" s="176"/>
      <c r="C9" s="176"/>
      <c r="D9" s="176"/>
      <c r="E9" s="176"/>
      <c r="F9" s="177"/>
      <c r="G9" s="97" t="s">
        <v>46</v>
      </c>
      <c r="H9" s="178" t="s">
        <v>47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48</v>
      </c>
      <c r="X9" s="178" t="s">
        <v>49</v>
      </c>
      <c r="Y9" s="181"/>
      <c r="Z9" s="182"/>
    </row>
    <row r="10" spans="1:28" s="36" customFormat="1" ht="120" customHeight="1">
      <c r="A10" s="157" t="s">
        <v>105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57" t="s">
        <v>110</v>
      </c>
      <c r="B11" s="158"/>
      <c r="C11" s="158"/>
      <c r="D11" s="158"/>
      <c r="E11" s="158"/>
      <c r="F11" s="159"/>
      <c r="G11" s="102" t="s">
        <v>102</v>
      </c>
      <c r="H11" s="160" t="s">
        <v>109</v>
      </c>
      <c r="I11" s="161"/>
      <c r="J11" s="161"/>
      <c r="K11" s="161"/>
      <c r="L11" s="161"/>
      <c r="M11" s="161"/>
      <c r="N11" s="161"/>
      <c r="O11" s="161"/>
      <c r="P11" s="161"/>
      <c r="Q11" s="161"/>
      <c r="R11" s="161"/>
      <c r="S11" s="161"/>
      <c r="T11" s="161"/>
      <c r="U11" s="161"/>
      <c r="V11" s="162"/>
      <c r="W11" s="103" t="s">
        <v>103</v>
      </c>
      <c r="X11" s="160" t="s">
        <v>108</v>
      </c>
      <c r="Y11" s="161"/>
      <c r="Z11" s="162"/>
      <c r="AA11" s="104"/>
      <c r="AB11" s="104"/>
    </row>
    <row r="12" spans="1:28" s="36" customFormat="1" ht="120" customHeight="1">
      <c r="A12" s="157" t="s">
        <v>113</v>
      </c>
      <c r="B12" s="158"/>
      <c r="C12" s="158"/>
      <c r="D12" s="158"/>
      <c r="E12" s="158"/>
      <c r="F12" s="159"/>
      <c r="G12" s="102" t="s">
        <v>102</v>
      </c>
      <c r="H12" s="160" t="s">
        <v>112</v>
      </c>
      <c r="I12" s="161"/>
      <c r="J12" s="161"/>
      <c r="K12" s="161"/>
      <c r="L12" s="161"/>
      <c r="M12" s="161"/>
      <c r="N12" s="161"/>
      <c r="O12" s="161"/>
      <c r="P12" s="161"/>
      <c r="Q12" s="161"/>
      <c r="R12" s="161"/>
      <c r="S12" s="161"/>
      <c r="T12" s="161"/>
      <c r="U12" s="161"/>
      <c r="V12" s="162"/>
      <c r="W12" s="103" t="s">
        <v>103</v>
      </c>
      <c r="X12" s="160" t="s">
        <v>111</v>
      </c>
      <c r="Y12" s="161"/>
      <c r="Z12" s="162"/>
      <c r="AA12" s="104"/>
      <c r="AB12" s="104"/>
    </row>
    <row r="13" spans="1:28" s="36" customFormat="1" ht="120" customHeight="1">
      <c r="A13" s="157" t="s">
        <v>116</v>
      </c>
      <c r="B13" s="158"/>
      <c r="C13" s="158"/>
      <c r="D13" s="158"/>
      <c r="E13" s="158"/>
      <c r="F13" s="159"/>
      <c r="G13" s="102" t="s">
        <v>102</v>
      </c>
      <c r="H13" s="160" t="s">
        <v>115</v>
      </c>
      <c r="I13" s="161"/>
      <c r="J13" s="161"/>
      <c r="K13" s="161"/>
      <c r="L13" s="161"/>
      <c r="M13" s="161"/>
      <c r="N13" s="161"/>
      <c r="O13" s="161"/>
      <c r="P13" s="161"/>
      <c r="Q13" s="161"/>
      <c r="R13" s="161"/>
      <c r="S13" s="161"/>
      <c r="T13" s="161"/>
      <c r="U13" s="161"/>
      <c r="V13" s="162"/>
      <c r="W13" s="103" t="s">
        <v>103</v>
      </c>
      <c r="X13" s="160" t="s">
        <v>114</v>
      </c>
      <c r="Y13" s="161"/>
      <c r="Z13" s="162"/>
      <c r="AA13" s="104"/>
      <c r="AB13" s="104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91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2022-10-07T05:19:38Z</cp:lastPrinted>
  <dcterms:created xsi:type="dcterms:W3CDTF">2008-09-29T00:47:34Z</dcterms:created>
  <dcterms:modified xsi:type="dcterms:W3CDTF">2022-10-07T05:19:59Z</dcterms:modified>
</cp:coreProperties>
</file>