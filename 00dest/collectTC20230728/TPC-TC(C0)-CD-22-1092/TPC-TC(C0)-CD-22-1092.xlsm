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<sst xmlns="http://schemas.openxmlformats.org/spreadsheetml/2006/main" count="270" uniqueCount="126">
  <si>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</si>
  <si>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</si>
  <si>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</si>
  <si>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</si>
  <si>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</si>
  <si>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</si>
  <si>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</si>
  <si>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</si>
  <si>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</si>
  <si>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</si>
  <si>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</si>
  <si>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</si>
  <si>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</si>
  <si>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</si>
  <si>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</si>
  <si>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</si>
  <si>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</si>
  <si>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</si>
  <si>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</si>
  <si>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</si>
  <si>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</si>
  <si>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</si>
  <si>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</si>
  <si>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</si>
  <si>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</si>
  <si>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</si>
  <si>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</si>
  <si>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</si>
  <si>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</si>
  <si>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</si>
  <si>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</si>
  <si>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</si>
  <si>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</si>
  <si>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</si>
  <si>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</si>
  <si>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</si>
  <si>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</si>
  <si>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</si>
  <si>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</si>
  <si>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</si>
  <si>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</si>
  <si>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</si>
  <si>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</si>
  <si>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</si>
  <si>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</si>
  <si>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</si>
  <si>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</si>
  <si>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</si>
  <si>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</si>
  <si>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</si>
  <si>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</si>
  <si>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</si>
  <si>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</si>
  <si>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</si>
  <si>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</si>
  <si>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</si>
  <si>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</si>
  <si>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</si>
  <si>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</si>
  <si>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</si>
  <si>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</si>
  <si>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</si>
  <si>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</si>
  <si>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</si>
  <si>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</si>
  <si>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</si>
  <si>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</si>
  <si>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</si>
  <si>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</si>
  <si>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</si>
  <si>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</si>
  <si>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</si>
  <si>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</si>
  <si>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</si>
  <si>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</si>
  <si>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</si>
  <si>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</si>
  <si>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</si>
  <si>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</si>
  <si>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</si>
  <si>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</si>
  <si>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</si>
  <si>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</si>
  <si>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</si>
  <si>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</si>
  <si>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</si>
  <si>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</si>
  <si>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</si>
  <si>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</si>
  <si>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</si>
  <si>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</si>
  <si>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</si>
  <si>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</si>
  <si>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</si>
  <si>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</si>
  <si>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</si>
  <si>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TPC-TC(C0)-CD-22-1092</t>
  </si>
  <si>
    <t>IFA</t>
  </si>
  <si>
    <t>2022/10/15</t>
  </si>
  <si>
    <t>2022/09/15</t>
  </si>
  <si>
    <t>TCO‐1‐EBF02‐A5011</t>
  </si>
  <si>
    <t>Mandatory spare parts and Special Tools list for 345kV IMB</t>
  </si>
  <si>
    <t>B</t>
  </si>
  <si>
    <t>A</t>
  </si>
  <si>
    <t>Equipment drawing and Accessories/Calculation sheets of arcing/Calculation sheets for rating current/Seismic qualification report/Specification data Sheet/The color sample/Painting procedure/Mandatory spare parts and Special Tools list for 345kV IMB</t>
  </si>
  <si>
    <t>程正維  Ext.:28057</t>
  </si>
  <si>
    <t>R</t>
  </si>
  <si>
    <t>VDR-M0019-CHEM-0020</t>
  </si>
  <si>
    <t>TCO‐1‐EBF02‐C5003</t>
  </si>
  <si>
    <t>Calculation sheets of arcing for 345kV IMB</t>
  </si>
  <si>
    <t>TCO‐1‐EBF02‐C5004</t>
  </si>
  <si>
    <t>Calculation sheets for rating current for 345kV IMB</t>
  </si>
  <si>
    <t>TCO‐1‐EBF02‐D5001</t>
  </si>
  <si>
    <t>Equipment drawing and Accessories for 345kV IMB</t>
  </si>
  <si>
    <t>TCO‐1‐EBF02‐S5005</t>
  </si>
  <si>
    <t>Seismic qualification report for 345kV IMB</t>
  </si>
  <si>
    <t>TCO‐1‐EBF02‐S5007</t>
  </si>
  <si>
    <t>Specification data Sheet for 345kV IMB</t>
  </si>
  <si>
    <t>TCO‐1‐EBF02‐S5008</t>
  </si>
  <si>
    <t>The color sample for 345kV IMB</t>
  </si>
  <si>
    <t>TCO‐1‐EBF02‐S5009</t>
  </si>
  <si>
    <t>Painting procedure for 345kV IMB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</si>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</sst>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drawing%20and%20Accessories/Calculation%20sheets%20of%20arcing/Calculation%20sheets%20for%20rating%20current/Seismic%20qualification%20report/Specification%20data%20Sheet/The%20color%20sample/Painting%20procedure/Mandatory%20spare%20parts%20and%20Special%20Tools%20list%20for%20345kV%20IM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90</v>
      </c>
      <c r="D1" s="26" t="s">
        <v>3</v>
      </c>
      <c r="E1" s="26" t="s">
        <v>91</v>
      </c>
      <c r="F1" s="26" t="s">
        <v>4</v>
      </c>
      <c r="G1" s="26" t="s">
        <v>5</v>
      </c>
      <c r="H1" s="26" t="s">
        <v>6</v>
      </c>
      <c r="I1" s="26" t="s">
        <v>92</v>
      </c>
      <c r="J1" s="26" t="s">
        <v>7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100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108</v>
      </c>
      <c r="F3" s="28" t="s">
        <v>109</v>
      </c>
      <c r="G3" s="27" t="s">
        <v>102</v>
      </c>
      <c r="H3" s="27" t="s">
        <v>103</v>
      </c>
      <c r="I3" s="28" t="s">
        <v>104</v>
      </c>
      <c r="J3" s="27" t="s">
        <v>108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110</v>
      </c>
      <c r="F4" s="28" t="s">
        <v>111</v>
      </c>
      <c r="G4" s="27" t="s">
        <v>102</v>
      </c>
      <c r="H4" s="27" t="s">
        <v>103</v>
      </c>
      <c r="I4" s="28" t="s">
        <v>104</v>
      </c>
      <c r="J4" s="27" t="s">
        <v>110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112</v>
      </c>
      <c r="F5" s="28" t="s">
        <v>113</v>
      </c>
      <c r="G5" s="27" t="s">
        <v>102</v>
      </c>
      <c r="H5" s="27" t="s">
        <v>103</v>
      </c>
      <c r="I5" s="28" t="s">
        <v>104</v>
      </c>
      <c r="J5" s="27" t="s">
        <v>112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96</v>
      </c>
      <c r="B6" s="27" t="s">
        <v>97</v>
      </c>
      <c r="C6" s="27" t="s">
        <v>98</v>
      </c>
      <c r="D6" s="27" t="s">
        <v>99</v>
      </c>
      <c r="E6" s="27" t="s">
        <v>114</v>
      </c>
      <c r="F6" s="28" t="s">
        <v>115</v>
      </c>
      <c r="G6" s="27" t="s">
        <v>102</v>
      </c>
      <c r="H6" s="27" t="s">
        <v>103</v>
      </c>
      <c r="I6" s="28" t="s">
        <v>104</v>
      </c>
      <c r="J6" s="27" t="s">
        <v>114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96</v>
      </c>
      <c r="B7" s="27" t="s">
        <v>97</v>
      </c>
      <c r="C7" s="27" t="s">
        <v>98</v>
      </c>
      <c r="D7" s="27" t="s">
        <v>99</v>
      </c>
      <c r="E7" s="27" t="s">
        <v>116</v>
      </c>
      <c r="F7" s="28" t="s">
        <v>117</v>
      </c>
      <c r="G7" s="27" t="s">
        <v>102</v>
      </c>
      <c r="H7" s="27" t="s">
        <v>103</v>
      </c>
      <c r="I7" s="28" t="s">
        <v>104</v>
      </c>
      <c r="J7" s="27" t="s">
        <v>116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96</v>
      </c>
      <c r="B8" s="27" t="s">
        <v>97</v>
      </c>
      <c r="C8" s="27" t="s">
        <v>98</v>
      </c>
      <c r="D8" s="27" t="s">
        <v>99</v>
      </c>
      <c r="E8" s="27" t="s">
        <v>118</v>
      </c>
      <c r="F8" s="28" t="s">
        <v>119</v>
      </c>
      <c r="G8" s="27" t="s">
        <v>102</v>
      </c>
      <c r="H8" s="27" t="s">
        <v>103</v>
      </c>
      <c r="I8" s="28" t="s">
        <v>104</v>
      </c>
      <c r="J8" s="27" t="s">
        <v>118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96</v>
      </c>
      <c r="B9" s="27" t="s">
        <v>97</v>
      </c>
      <c r="C9" s="27" t="s">
        <v>98</v>
      </c>
      <c r="D9" s="27" t="s">
        <v>99</v>
      </c>
      <c r="E9" s="27" t="s">
        <v>120</v>
      </c>
      <c r="F9" s="28" t="s">
        <v>121</v>
      </c>
      <c r="G9" s="27" t="s">
        <v>102</v>
      </c>
      <c r="H9" s="27" t="s">
        <v>103</v>
      </c>
      <c r="I9" s="28" t="s">
        <v>104</v>
      </c>
      <c r="J9" s="27" t="s">
        <v>120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1" zoomScale="40" zoomScaleNormal="70" zoomScaleSheetLayoutView="40" zoomScalePageLayoutView="40" workbookViewId="0">
      <selection activeCell="Q51" sqref="Q5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28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29</v>
      </c>
      <c r="W7" s="91"/>
      <c r="X7" s="122" t="str">
        <f>Data1!D2</f>
        <v>2022/09/15</v>
      </c>
      <c r="Y7" s="123"/>
      <c r="Z7" s="123"/>
      <c r="AA7" s="94"/>
      <c r="AB7" s="88"/>
    </row>
    <row r="8" spans="1:28" s="35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30</v>
      </c>
      <c r="W8" s="92"/>
      <c r="X8" s="124" t="str">
        <f>Data1!A2</f>
        <v>TPC-TC(C0)-CD-22-1092</v>
      </c>
      <c r="Y8" s="116"/>
      <c r="Z8" s="116"/>
      <c r="AA8" s="95"/>
      <c r="AB8" s="95"/>
    </row>
    <row r="9" spans="1:28" s="35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34</v>
      </c>
      <c r="B10" s="31"/>
      <c r="C10" s="36" t="s">
        <v>35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80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36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37</v>
      </c>
      <c r="B18" s="117" t="str">
        <f>Data1!I2</f>
        <v>Equipment drawing and Accessories/Calculation sheets of arcing/Calculation sheets for rating current/Seismic qualification report/Specification data Sheet/The color sample/Painting procedure/Mandatory spare parts and Special Tools list for 345kV IMB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38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39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123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56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78</v>
      </c>
      <c r="C24" s="114" t="s">
        <v>57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40</v>
      </c>
      <c r="C25" s="106" t="s">
        <v>41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58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40</v>
      </c>
      <c r="C27" s="104" t="s">
        <v>42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40</v>
      </c>
      <c r="C28" s="41" t="s">
        <v>43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73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44</v>
      </c>
      <c r="B31" s="129"/>
      <c r="C31" s="129"/>
      <c r="D31" s="129"/>
      <c r="E31" s="129"/>
      <c r="F31" s="130"/>
      <c r="G31" s="47" t="s">
        <v>45</v>
      </c>
      <c r="H31" s="131" t="s">
        <v>46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47</v>
      </c>
      <c r="X31" s="131" t="s">
        <v>48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55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Data1!M2</f>
        <v>VDR-M0019-CHEM-0020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52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53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49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122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79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78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78</v>
      </c>
      <c r="D48" s="150" t="s">
        <v>59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60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54</v>
      </c>
      <c r="D50" s="151" t="s">
        <v>50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78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78</v>
      </c>
      <c r="D52" s="150" t="s">
        <v>61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60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78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124</v>
      </c>
      <c r="D55" s="147" t="s">
        <v>62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60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54</v>
      </c>
      <c r="D57" s="57" t="s">
        <v>51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40</v>
      </c>
      <c r="D58" s="149" t="s">
        <v>70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63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124</v>
      </c>
      <c r="C60" s="99" t="s">
        <v>125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124</v>
      </c>
      <c r="D61" s="150" t="s">
        <v>64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65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66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54</v>
      </c>
      <c r="C64" s="150" t="s">
        <v>86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67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68</v>
      </c>
      <c r="C66" s="150" t="s">
        <v>87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71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68</v>
      </c>
      <c r="C68" s="147" t="s">
        <v>83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72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40</v>
      </c>
      <c r="C70" s="155" t="s">
        <v>88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69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74</v>
      </c>
      <c r="B1" s="76" t="s">
        <v>75</v>
      </c>
    </row>
    <row r="2" spans="1:2">
      <c r="A2" s="76" t="s">
        <v>76</v>
      </c>
      <c r="B2" s="76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Q51" sqref="Q5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29</v>
      </c>
      <c r="X4" s="91"/>
      <c r="Y4" s="167" t="str">
        <f>Data1!D2</f>
        <v>2022/09/15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30</v>
      </c>
      <c r="X5" s="93"/>
      <c r="Y5" s="169" t="str">
        <f>Data1!A2</f>
        <v>TPC-TC(C0)-CD-22-1092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73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44</v>
      </c>
      <c r="B9" s="175"/>
      <c r="C9" s="175"/>
      <c r="D9" s="175"/>
      <c r="E9" s="175"/>
      <c r="F9" s="176"/>
      <c r="G9" s="96" t="s">
        <v>45</v>
      </c>
      <c r="H9" s="177" t="s">
        <v>46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47</v>
      </c>
      <c r="X9" s="177" t="s">
        <v>48</v>
      </c>
      <c r="Y9" s="180"/>
      <c r="Z9" s="181"/>
    </row>
    <row r="10" spans="1:28" s="35" customFormat="1" ht="120" customHeight="1">
      <c r="A10" s="156" t="s">
        <v>100</v>
      </c>
      <c r="B10" s="157"/>
      <c r="C10" s="157"/>
      <c r="D10" s="157"/>
      <c r="E10" s="157"/>
      <c r="F10" s="158"/>
      <c r="G10" s="101" t="s">
        <v>102</v>
      </c>
      <c r="H10" s="159" t="s">
        <v>101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103</v>
      </c>
      <c r="X10" s="159" t="s">
        <v>100</v>
      </c>
      <c r="Y10" s="160"/>
      <c r="Z10" s="161"/>
      <c r="AA10" s="103"/>
      <c r="AB10" s="103"/>
    </row>
    <row r="11" spans="1:28" s="35" customFormat="1" ht="120" customHeight="1">
      <c r="A11" s="156" t="s">
        <v>108</v>
      </c>
      <c r="B11" s="157"/>
      <c r="C11" s="157"/>
      <c r="D11" s="157"/>
      <c r="E11" s="157"/>
      <c r="F11" s="158"/>
      <c r="G11" s="101" t="s">
        <v>102</v>
      </c>
      <c r="H11" s="159" t="s">
        <v>109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103</v>
      </c>
      <c r="X11" s="159" t="s">
        <v>108</v>
      </c>
      <c r="Y11" s="160"/>
      <c r="Z11" s="161"/>
      <c r="AA11" s="103"/>
      <c r="AB11" s="103"/>
    </row>
    <row r="12" spans="1:28" s="35" customFormat="1" ht="120" customHeight="1">
      <c r="A12" s="156" t="s">
        <v>110</v>
      </c>
      <c r="B12" s="157"/>
      <c r="C12" s="157"/>
      <c r="D12" s="157"/>
      <c r="E12" s="157"/>
      <c r="F12" s="158"/>
      <c r="G12" s="101" t="s">
        <v>102</v>
      </c>
      <c r="H12" s="159" t="s">
        <v>111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103</v>
      </c>
      <c r="X12" s="159" t="s">
        <v>110</v>
      </c>
      <c r="Y12" s="160"/>
      <c r="Z12" s="161"/>
      <c r="AA12" s="103"/>
      <c r="AB12" s="103"/>
    </row>
    <row r="13" spans="1:28" s="35" customFormat="1" ht="120" customHeight="1">
      <c r="A13" s="156" t="s">
        <v>112</v>
      </c>
      <c r="B13" s="157"/>
      <c r="C13" s="157"/>
      <c r="D13" s="157"/>
      <c r="E13" s="157"/>
      <c r="F13" s="158"/>
      <c r="G13" s="101" t="s">
        <v>102</v>
      </c>
      <c r="H13" s="159" t="s">
        <v>113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103</v>
      </c>
      <c r="X13" s="159" t="s">
        <v>112</v>
      </c>
      <c r="Y13" s="160"/>
      <c r="Z13" s="161"/>
      <c r="AA13" s="103"/>
      <c r="AB13" s="103"/>
    </row>
    <row r="14" spans="1:28" s="35" customFormat="1" ht="120" customHeight="1">
      <c r="A14" s="156" t="s">
        <v>114</v>
      </c>
      <c r="B14" s="157"/>
      <c r="C14" s="157"/>
      <c r="D14" s="157"/>
      <c r="E14" s="157"/>
      <c r="F14" s="158"/>
      <c r="G14" s="101" t="s">
        <v>102</v>
      </c>
      <c r="H14" s="159" t="s">
        <v>115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103</v>
      </c>
      <c r="X14" s="159" t="s">
        <v>114</v>
      </c>
      <c r="Y14" s="160"/>
      <c r="Z14" s="161"/>
      <c r="AA14" s="103"/>
      <c r="AB14" s="103"/>
    </row>
    <row r="15" spans="1:28" s="35" customFormat="1" ht="120" customHeight="1">
      <c r="A15" s="156" t="s">
        <v>116</v>
      </c>
      <c r="B15" s="157"/>
      <c r="C15" s="157"/>
      <c r="D15" s="157"/>
      <c r="E15" s="157"/>
      <c r="F15" s="158"/>
      <c r="G15" s="101" t="s">
        <v>102</v>
      </c>
      <c r="H15" s="159" t="s">
        <v>117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103</v>
      </c>
      <c r="X15" s="159" t="s">
        <v>116</v>
      </c>
      <c r="Y15" s="160"/>
      <c r="Z15" s="161"/>
      <c r="AA15" s="103"/>
      <c r="AB15" s="103"/>
    </row>
    <row r="16" spans="1:28" s="35" customFormat="1" ht="120" customHeight="1">
      <c r="A16" s="156" t="s">
        <v>118</v>
      </c>
      <c r="B16" s="157"/>
      <c r="C16" s="157"/>
      <c r="D16" s="157"/>
      <c r="E16" s="157"/>
      <c r="F16" s="158"/>
      <c r="G16" s="101" t="s">
        <v>102</v>
      </c>
      <c r="H16" s="159" t="s">
        <v>119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103</v>
      </c>
      <c r="X16" s="159" t="s">
        <v>118</v>
      </c>
      <c r="Y16" s="160"/>
      <c r="Z16" s="161"/>
      <c r="AA16" s="103"/>
      <c r="AB16" s="103"/>
    </row>
    <row r="17" spans="1:28" s="35" customFormat="1" ht="120" customHeight="1">
      <c r="A17" s="156" t="s">
        <v>120</v>
      </c>
      <c r="B17" s="157"/>
      <c r="C17" s="157"/>
      <c r="D17" s="157"/>
      <c r="E17" s="157"/>
      <c r="F17" s="158"/>
      <c r="G17" s="101" t="s">
        <v>102</v>
      </c>
      <c r="H17" s="159" t="s">
        <v>121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103</v>
      </c>
      <c r="X17" s="159" t="s">
        <v>120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89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2022-09-15T07:58:13Z</cp:lastPrinted>
  <dcterms:created xsi:type="dcterms:W3CDTF">2008-09-29T00:47:34Z</dcterms:created>
  <dcterms:modified xsi:type="dcterms:W3CDTF">2022-09-15T07:58:31Z</dcterms:modified>
</cp:coreProperties>
</file>