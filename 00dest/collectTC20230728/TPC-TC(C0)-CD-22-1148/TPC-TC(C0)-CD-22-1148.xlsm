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<sst xmlns="http://schemas.openxmlformats.org/spreadsheetml/2006/main" count="522" uniqueCount="175">
  <si>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</si>
  <si>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</si>
  <si>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</si>
  <si>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</si>
  <si>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</si>
  <si>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</si>
  <si>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</si>
  <si>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</si>
  <si>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</si>
  <si>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</si>
  <si>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</si>
  <si>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</si>
  <si>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</si>
  <si>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</si>
  <si>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</si>
  <si>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</si>
  <si>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</si>
  <si>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</si>
  <si>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</si>
  <si>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</si>
  <si>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</si>
  <si>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</si>
  <si>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</si>
  <si>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</si>
  <si>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</si>
  <si>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</si>
  <si>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</si>
  <si>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</si>
  <si>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</si>
  <si>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</si>
  <si>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</si>
  <si>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</si>
  <si>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</si>
  <si>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</si>
  <si>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</si>
  <si>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</si>
  <si>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</si>
  <si>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</si>
  <si>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</si>
  <si>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</si>
  <si>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</si>
  <si>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</si>
  <si>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</si>
  <si>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</si>
  <si>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</si>
  <si>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</si>
  <si>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</si>
  <si>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</si>
  <si>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</si>
  <si>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</si>
  <si>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</si>
  <si>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</si>
  <si>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</si>
  <si>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</si>
  <si>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</si>
  <si>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</si>
  <si>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</si>
  <si>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</si>
  <si>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</si>
  <si>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</si>
  <si>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</si>
  <si>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</si>
  <si>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</si>
  <si>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</si>
  <si>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</si>
  <si>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</si>
  <si>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</si>
  <si>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</si>
  <si>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</si>
  <si>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</si>
  <si>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</si>
  <si>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</si>
  <si>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</si>
  <si>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</si>
  <si>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</si>
  <si>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</si>
  <si>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</si>
  <si>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</si>
  <si>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</si>
  <si>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</si>
  <si>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</si>
  <si>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</si>
  <si>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</si>
  <si>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</si>
  <si>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</si>
  <si>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</si>
  <si>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</si>
  <si>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</si>
  <si>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</si>
  <si>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</si>
  <si>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</si>
  <si>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</si>
  <si>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</si>
  <si>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</si>
  <si>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</si>
  <si>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</si>
  <si>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</si>
  <si>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TPC-TC(C0)-CD-22-1148</t>
  </si>
  <si>
    <t>IFA</t>
  </si>
  <si>
    <t>2022/10/21</t>
  </si>
  <si>
    <t>2022/09/21</t>
  </si>
  <si>
    <t>M0015-EC-0025</t>
  </si>
  <si>
    <t>P &amp; ID Wastewater Treatment System (1/22)_Oily Wastewater Treatment System for WWTS</t>
  </si>
  <si>
    <t>B</t>
  </si>
  <si>
    <t>A</t>
  </si>
  <si>
    <t>Piping &amp; Instrument Diagrams (P &amp; ID) for WWTS</t>
  </si>
  <si>
    <t>TC0-1-KWM02-D0025</t>
  </si>
  <si>
    <t xml:space="preserve">蕭舜予  Ext.:22121 </t>
  </si>
  <si>
    <t>R</t>
  </si>
  <si>
    <t>VDR-M0015-EC-0128</t>
  </si>
  <si>
    <t>M0015-EC-0026</t>
  </si>
  <si>
    <t>P &amp; ID Wastewater Treatment System (2/22)_Oily Wastewater Treatment System for WWTS</t>
  </si>
  <si>
    <t>TC0-1-KWM02-D0026</t>
  </si>
  <si>
    <t>M0015-EC-0027</t>
  </si>
  <si>
    <t>P &amp; ID Wastewater Treatment System (3/22)_Oily Wastewater Treatment System for WWTS</t>
  </si>
  <si>
    <t>TC0-1-KWM02-D0027</t>
  </si>
  <si>
    <t>M0015-EC-0028</t>
  </si>
  <si>
    <t>P &amp; ID Wastewater Treatment System (4/22)_HC Wastewater Treatment System for WWTS</t>
  </si>
  <si>
    <t>TC0-1-KWM02-D0028</t>
  </si>
  <si>
    <t>M0015-EC-0029</t>
  </si>
  <si>
    <t>P &amp; ID Wastewater Treatment System (5/22)_HC Wastewater Treatment System for WWTS</t>
  </si>
  <si>
    <t>TC0-1-KWM02-D0029</t>
  </si>
  <si>
    <t>M0015-EC-0030</t>
  </si>
  <si>
    <t>P &amp; ID Wastewater Treatment System (6/22)_Chemical Wastewater Treatment System for WWTS</t>
  </si>
  <si>
    <t>TC0-1-KWM02-D0030</t>
  </si>
  <si>
    <t>M0015-EC-0031</t>
  </si>
  <si>
    <t>P &amp; ID Wastewater Treatment System (7/22)_Chemical Wastewater Treatment System for WWTS</t>
  </si>
  <si>
    <t>TC0-1-KWM02-D0031</t>
  </si>
  <si>
    <t>M0015-EC-0032</t>
  </si>
  <si>
    <t>P &amp; ID Wastewater Treatment System (8/22)_Chemical Wastewater Treatment System for WWTS</t>
  </si>
  <si>
    <t>TC0-1-KWM02-D0032</t>
  </si>
  <si>
    <t>M0015-EC-0033</t>
  </si>
  <si>
    <t>P &amp; ID Wastewater Treatment System (9/22)_Chemical Wastewater Treatment System for WWTS</t>
  </si>
  <si>
    <t>TC0-1-KWM02-D0033</t>
  </si>
  <si>
    <t>M0015-EC-0034</t>
  </si>
  <si>
    <t>P &amp; ID Wastewater Treatment System (10/22)_Chemical Wastewater Treatment System for WWTS</t>
  </si>
  <si>
    <t>TC0-1-KWM02-D0034</t>
  </si>
  <si>
    <t>M0015-EC-0035</t>
  </si>
  <si>
    <t>P &amp; ID Wastewater Treatment System (11/22)_Recovery water Treatment System for WWTS</t>
  </si>
  <si>
    <t>TC0-1-KWM02-D0035</t>
  </si>
  <si>
    <t>M0015-EC-0036</t>
  </si>
  <si>
    <t>P &amp; ID Wastewater Treatment System (12/22)_Recovery water Treatment System for WWTS</t>
  </si>
  <si>
    <t>TC0-1-KWM02-D0036</t>
  </si>
  <si>
    <t>M0015-EC-0037</t>
  </si>
  <si>
    <t>P &amp; ID Wastewater Treatment System (13/22)_Recovery water Treatment System for WWTS</t>
  </si>
  <si>
    <t>TC0-1-KWM02-D0037</t>
  </si>
  <si>
    <t>M0015-EC-0038</t>
  </si>
  <si>
    <t>P &amp; ID Wastewater Treatment System (14/22)_Sludge treatment system for WWTS</t>
  </si>
  <si>
    <t>TC0-1-KWM02-D0038</t>
  </si>
  <si>
    <t>M0015-EC-0039</t>
  </si>
  <si>
    <t>P &amp; ID Wastewater Treatment System (15/22)_Sludge treatment system for WWTS</t>
  </si>
  <si>
    <t>TC0-1-KWM02-D0039</t>
  </si>
  <si>
    <t>M0015-EC-0040</t>
  </si>
  <si>
    <t>P &amp; ID Wastewater Treatment System (16/22)_Sludge treatment system for WWTS</t>
  </si>
  <si>
    <t>TC0-1-KWM02-D0040</t>
  </si>
  <si>
    <t>M0015-EC-0041</t>
  </si>
  <si>
    <t>P &amp; ID Wastewater Treatment System (17/22)_Sludge treatment system for WWTS</t>
  </si>
  <si>
    <t>TC0-1-KWM02-D0041</t>
  </si>
  <si>
    <t>M0015-EC-0042</t>
  </si>
  <si>
    <t>P &amp; ID Wastewater Treatment System (18/22)_Chemical dosing System for WWTS</t>
  </si>
  <si>
    <t>TC0-1-KWM02-D0042</t>
  </si>
  <si>
    <t>M0015-EC-0043</t>
  </si>
  <si>
    <t>P &amp; ID Wastewater Treatment System (19/22)_Chemical dosing System for WWTS</t>
  </si>
  <si>
    <t>TC0-1-KWM02-D0043</t>
  </si>
  <si>
    <t>M0015-EC-0044</t>
  </si>
  <si>
    <t>P &amp; ID Wastewater Treatment System (20/22)_Chemical dosing System for WWTS</t>
  </si>
  <si>
    <t>TC0-1-KWM02-D0044</t>
  </si>
  <si>
    <t>M0015-EC-0045</t>
  </si>
  <si>
    <t>P &amp; ID Wastewater Treatment System (21/22)_Chemical dosing System for WWTS</t>
  </si>
  <si>
    <t>TC0-1-KWM02-D0045</t>
  </si>
  <si>
    <t>M0015-EC-0046</t>
  </si>
  <si>
    <t>P &amp; ID Wastewater Treatment System (22/22)_Chemical dosing System for WWTS</t>
  </si>
  <si>
    <t>TC0-1-KWM02-D0046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</si>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</sst>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103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109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103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109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103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109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119</v>
      </c>
      <c r="F6" s="28" t="s">
        <v>120</v>
      </c>
      <c r="G6" s="27" t="s">
        <v>103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109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122</v>
      </c>
      <c r="F7" s="28" t="s">
        <v>123</v>
      </c>
      <c r="G7" s="27" t="s">
        <v>103</v>
      </c>
      <c r="H7" s="27" t="s">
        <v>104</v>
      </c>
      <c r="I7" s="28" t="s">
        <v>105</v>
      </c>
      <c r="J7" s="27" t="s">
        <v>124</v>
      </c>
      <c r="K7" s="27" t="s">
        <v>107</v>
      </c>
      <c r="L7" s="27" t="s">
        <v>108</v>
      </c>
      <c r="M7" s="28" t="s">
        <v>109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125</v>
      </c>
      <c r="F8" s="28" t="s">
        <v>126</v>
      </c>
      <c r="G8" s="27" t="s">
        <v>103</v>
      </c>
      <c r="H8" s="27" t="s">
        <v>104</v>
      </c>
      <c r="I8" s="28" t="s">
        <v>105</v>
      </c>
      <c r="J8" s="27" t="s">
        <v>127</v>
      </c>
      <c r="K8" s="27" t="s">
        <v>107</v>
      </c>
      <c r="L8" s="27" t="s">
        <v>108</v>
      </c>
      <c r="M8" s="28" t="s">
        <v>109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128</v>
      </c>
      <c r="F9" s="28" t="s">
        <v>129</v>
      </c>
      <c r="G9" s="27" t="s">
        <v>103</v>
      </c>
      <c r="H9" s="27" t="s">
        <v>104</v>
      </c>
      <c r="I9" s="28" t="s">
        <v>105</v>
      </c>
      <c r="J9" s="27" t="s">
        <v>130</v>
      </c>
      <c r="K9" s="27" t="s">
        <v>107</v>
      </c>
      <c r="L9" s="27" t="s">
        <v>108</v>
      </c>
      <c r="M9" s="28" t="s">
        <v>109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131</v>
      </c>
      <c r="F10" s="76" t="s">
        <v>132</v>
      </c>
      <c r="G10" s="76" t="s">
        <v>103</v>
      </c>
      <c r="H10" s="76" t="s">
        <v>104</v>
      </c>
      <c r="I10" s="76" t="s">
        <v>105</v>
      </c>
      <c r="J10" s="76" t="s">
        <v>133</v>
      </c>
      <c r="K10" s="76" t="s">
        <v>107</v>
      </c>
      <c r="L10" s="76" t="s">
        <v>108</v>
      </c>
      <c r="M10" s="76" t="s">
        <v>109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134</v>
      </c>
      <c r="F11" s="76" t="s">
        <v>135</v>
      </c>
      <c r="G11" s="76" t="s">
        <v>103</v>
      </c>
      <c r="H11" s="76" t="s">
        <v>104</v>
      </c>
      <c r="I11" s="76" t="s">
        <v>105</v>
      </c>
      <c r="J11" s="76" t="s">
        <v>136</v>
      </c>
      <c r="K11" s="76" t="s">
        <v>107</v>
      </c>
      <c r="L11" s="76" t="s">
        <v>108</v>
      </c>
      <c r="M11" s="76" t="s">
        <v>109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137</v>
      </c>
      <c r="F12" s="76" t="s">
        <v>138</v>
      </c>
      <c r="G12" s="76" t="s">
        <v>103</v>
      </c>
      <c r="H12" s="76" t="s">
        <v>104</v>
      </c>
      <c r="I12" s="76" t="s">
        <v>105</v>
      </c>
      <c r="J12" s="76" t="s">
        <v>139</v>
      </c>
      <c r="K12" s="76" t="s">
        <v>107</v>
      </c>
      <c r="L12" s="76" t="s">
        <v>108</v>
      </c>
      <c r="M12" s="76" t="s">
        <v>109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140</v>
      </c>
      <c r="F13" s="76" t="s">
        <v>141</v>
      </c>
      <c r="G13" s="76" t="s">
        <v>103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109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109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103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109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103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109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103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109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103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109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109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103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109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164</v>
      </c>
      <c r="F21" s="76" t="s">
        <v>165</v>
      </c>
      <c r="G21" s="76" t="s">
        <v>103</v>
      </c>
      <c r="H21" s="76" t="s">
        <v>104</v>
      </c>
      <c r="I21" s="76" t="s">
        <v>105</v>
      </c>
      <c r="J21" s="76" t="s">
        <v>166</v>
      </c>
      <c r="K21" s="76" t="s">
        <v>107</v>
      </c>
      <c r="L21" s="76" t="s">
        <v>108</v>
      </c>
      <c r="M21" s="76" t="s">
        <v>109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167</v>
      </c>
      <c r="F22" s="76" t="s">
        <v>168</v>
      </c>
      <c r="G22" s="76" t="s">
        <v>103</v>
      </c>
      <c r="H22" s="76" t="s">
        <v>104</v>
      </c>
      <c r="I22" s="76" t="s">
        <v>105</v>
      </c>
      <c r="J22" s="76" t="s">
        <v>169</v>
      </c>
      <c r="K22" s="76" t="s">
        <v>107</v>
      </c>
      <c r="L22" s="76" t="s">
        <v>108</v>
      </c>
      <c r="M22" s="76" t="s">
        <v>109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170</v>
      </c>
      <c r="F23" s="76" t="s">
        <v>171</v>
      </c>
      <c r="G23" s="76" t="s">
        <v>103</v>
      </c>
      <c r="H23" s="76" t="s">
        <v>104</v>
      </c>
      <c r="I23" s="76" t="s">
        <v>105</v>
      </c>
      <c r="J23" s="76" t="s">
        <v>172</v>
      </c>
      <c r="K23" s="76" t="s">
        <v>107</v>
      </c>
      <c r="L23" s="76" t="s">
        <v>108</v>
      </c>
      <c r="M23" s="76" t="s">
        <v>109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9" zoomScale="40" zoomScaleNormal="70" zoomScaleSheetLayoutView="40" zoomScalePageLayoutView="40" workbookViewId="0">
      <selection activeCell="L26" sqref="L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29</v>
      </c>
      <c r="W7" s="90"/>
      <c r="X7" s="121" t="str">
        <f>Data1!D2</f>
        <v>2022/09/21</v>
      </c>
      <c r="Y7" s="122"/>
      <c r="Z7" s="122"/>
      <c r="AA7" s="93"/>
      <c r="AB7" s="87"/>
    </row>
    <row r="8" spans="1:28" s="35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30</v>
      </c>
      <c r="W8" s="91"/>
      <c r="X8" s="123" t="str">
        <f>Data1!A2</f>
        <v>TPC-TC(C0)-CD-22-1148</v>
      </c>
      <c r="Y8" s="115"/>
      <c r="Z8" s="115"/>
      <c r="AA8" s="94"/>
      <c r="AB8" s="94"/>
    </row>
    <row r="9" spans="1:28" s="35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34</v>
      </c>
      <c r="B10" s="31"/>
      <c r="C10" s="36" t="s">
        <v>35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36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37</v>
      </c>
      <c r="B18" s="116" t="str">
        <f>Data1!I2</f>
        <v>Piping &amp; Instrument Diagrams (P &amp; ID) for WWTS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38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39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174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56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78</v>
      </c>
      <c r="C24" s="113" t="s">
        <v>57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40</v>
      </c>
      <c r="C25" s="105" t="s">
        <v>41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58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40</v>
      </c>
      <c r="C27" s="103" t="s">
        <v>42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40</v>
      </c>
      <c r="C28" s="41" t="s">
        <v>43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73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44</v>
      </c>
      <c r="B31" s="128"/>
      <c r="C31" s="128"/>
      <c r="D31" s="128"/>
      <c r="E31" s="128"/>
      <c r="F31" s="129"/>
      <c r="G31" s="47" t="s">
        <v>45</v>
      </c>
      <c r="H31" s="130" t="s">
        <v>46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47</v>
      </c>
      <c r="X31" s="130" t="s">
        <v>48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55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 xml:space="preserve">蕭舜予  Ext.:22121 </v>
      </c>
      <c r="E36" s="52"/>
      <c r="F36" s="52"/>
      <c r="G36" s="52"/>
      <c r="H36" s="99" t="str">
        <f>Data1!M2</f>
        <v>VDR-M0015-EC-0128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52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53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49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173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79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78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78</v>
      </c>
      <c r="D48" s="149" t="s">
        <v>59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60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54</v>
      </c>
      <c r="D50" s="150" t="s">
        <v>50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78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78</v>
      </c>
      <c r="D52" s="149" t="s">
        <v>61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60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78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78</v>
      </c>
      <c r="D55" s="146" t="s">
        <v>62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60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54</v>
      </c>
      <c r="D57" s="57" t="s">
        <v>51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40</v>
      </c>
      <c r="D58" s="148" t="s">
        <v>70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63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54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54</v>
      </c>
      <c r="D61" s="149" t="s">
        <v>64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65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66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54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67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68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71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68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72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40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69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74</v>
      </c>
      <c r="B1" s="76" t="s">
        <v>75</v>
      </c>
    </row>
    <row r="2" spans="1:2">
      <c r="A2" s="76" t="s">
        <v>76</v>
      </c>
      <c r="B2" s="76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topLeftCell="A22" zoomScale="40" zoomScaleNormal="40" zoomScaleSheetLayoutView="40" zoomScalePageLayoutView="40" workbookViewId="0">
      <selection activeCell="L26" sqref="L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29</v>
      </c>
      <c r="X4" s="90"/>
      <c r="Y4" s="165" t="str">
        <f>Data1!D2</f>
        <v>2022/09/21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30</v>
      </c>
      <c r="X5" s="92"/>
      <c r="Y5" s="167" t="str">
        <f>Data1!A2</f>
        <v>TPC-TC(C0)-CD-22-1148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44</v>
      </c>
      <c r="B9" s="173"/>
      <c r="C9" s="173"/>
      <c r="D9" s="173"/>
      <c r="E9" s="173"/>
      <c r="F9" s="174"/>
      <c r="G9" s="95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47</v>
      </c>
      <c r="X9" s="175" t="s">
        <v>48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103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103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103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103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103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103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103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103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103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103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103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103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103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103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103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103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103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103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103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103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170</v>
      </c>
      <c r="Y31" s="159"/>
      <c r="Z31" s="160"/>
      <c r="AA31" s="102"/>
      <c r="AB31" s="102"/>
    </row>
    <row r="32" spans="1:28" ht="120" customHeight="1">
      <c r="A32" s="161"/>
      <c r="B32" s="162"/>
      <c r="C32" s="162"/>
      <c r="D32" s="162"/>
      <c r="E32" s="162"/>
      <c r="F32" s="162"/>
      <c r="G32" s="89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89"/>
      <c r="X32" s="163"/>
      <c r="Y32" s="164"/>
      <c r="Z32" s="164"/>
      <c r="AA32" s="79"/>
    </row>
    <row r="33" spans="1:27" ht="120" customHeight="1">
      <c r="A33" s="180" t="s">
        <v>90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2022-09-21T08:35:33Z</cp:lastPrinted>
  <dcterms:created xsi:type="dcterms:W3CDTF">2008-09-29T00:47:34Z</dcterms:created>
  <dcterms:modified xsi:type="dcterms:W3CDTF">2022-09-21T08:35:51Z</dcterms:modified>
</cp:coreProperties>
</file>